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ummary" sheetId="1" state="visible" r:id="rId1"/>
    <sheet name="Test Cases" sheetId="2" state="visible" r:id="rId2"/>
    <sheet name="Traceability Matrix" sheetId="3" state="visible" r:id="rId3"/>
  </sheets>
  <definedNames>
    <definedName name="_xlnm._FilterDatabase" localSheetId="1" hidden="1">'Test Cases'!$A$1:$J$124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sz val="14"/>
    </font>
    <font>
      <name val="Calibri"/>
      <family val="2"/>
      <b val="1"/>
      <color rgb="FF00B05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AF3FA"/>
      </patternFill>
    </fill>
    <fill>
      <patternFill patternType="solid">
        <fgColor rgb="FFEDF7ED"/>
      </patternFill>
    </fill>
    <fill>
      <patternFill patternType="solid">
        <fgColor rgb="FFFFF8E7"/>
      </patternFill>
    </fill>
    <fill>
      <patternFill patternType="solid">
        <fgColor rgb="FFFDEEF0"/>
      </patternFill>
    </fill>
    <fill>
      <patternFill patternType="solid">
        <fgColor rgb="FFF3EEF9"/>
      </patternFill>
    </fill>
    <fill>
      <patternFill patternType="solid">
        <fgColor rgb="FFEAF7F7"/>
      </patternFill>
    </fill>
    <fill>
      <patternFill patternType="solid">
        <fgColor rgb="FFFFF3E8"/>
      </patternFill>
    </fill>
    <fill>
      <patternFill patternType="solid">
        <fgColor rgb="FFF0F0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4"/>
  <cols>
    <col width="26" customWidth="1" min="1" max="1"/>
    <col width="46" customWidth="1" min="2" max="2"/>
  </cols>
  <sheetData>
    <row r="1" ht="18" customHeight="1">
      <c r="A1" s="1" t="inlineStr">
        <is>
          <t>Test Execution Summary</t>
        </is>
      </c>
    </row>
    <row r="3">
      <c r="A3" t="inlineStr">
        <is>
          <t>Project</t>
        </is>
      </c>
      <c r="B3" t="inlineStr">
        <is>
          <t>Companion Disease Risk AI</t>
        </is>
      </c>
    </row>
    <row r="4">
      <c r="A4" t="inlineStr">
        <is>
          <t>Student</t>
        </is>
      </c>
      <c r="B4" t="inlineStr">
        <is>
          <t>MTE Ranasinghe (D/BIT/23/0025)</t>
        </is>
      </c>
    </row>
    <row r="5">
      <c r="A5" t="inlineStr">
        <is>
          <t>Stage</t>
        </is>
      </c>
      <c r="B5" t="inlineStr">
        <is>
          <t>Second Progress Review</t>
        </is>
      </c>
    </row>
    <row r="6">
      <c r="A6" t="inlineStr">
        <is>
          <t>Tested by</t>
        </is>
      </c>
    </row>
    <row r="7">
      <c r="A7" t="inlineStr">
        <is>
          <t>Date</t>
        </is>
      </c>
    </row>
    <row r="8">
      <c r="A8" t="inlineStr">
        <is>
          <t>Build / commit</t>
        </is>
      </c>
    </row>
    <row r="10">
      <c r="A10" s="2" t="inlineStr">
        <is>
          <t>Result</t>
        </is>
      </c>
      <c r="B10" s="2" t="inlineStr">
        <is>
          <t>Count</t>
        </is>
      </c>
    </row>
    <row r="11">
      <c r="A11" t="inlineStr">
        <is>
          <t>Total test cases</t>
        </is>
      </c>
      <c r="B11">
        <f>123</f>
        <v/>
      </c>
    </row>
    <row r="12">
      <c r="A12" t="inlineStr">
        <is>
          <t>Pass</t>
        </is>
      </c>
      <c r="B12">
        <f>COUNTIF('Test Cases'!I2:I124,"Pass")</f>
        <v/>
      </c>
    </row>
    <row r="13">
      <c r="A13" t="inlineStr">
        <is>
          <t>Fail</t>
        </is>
      </c>
      <c r="B13">
        <f>COUNTIF('Test Cases'!I2:I124,"Fail")</f>
        <v/>
      </c>
    </row>
    <row r="14">
      <c r="A14" t="inlineStr">
        <is>
          <t>Blocked</t>
        </is>
      </c>
      <c r="B14">
        <f>COUNTIF('Test Cases'!I2:I124,"Blocked")</f>
        <v/>
      </c>
    </row>
    <row r="15">
      <c r="A15" t="inlineStr">
        <is>
          <t>Not Executed</t>
        </is>
      </c>
      <c r="B15">
        <f>COUNTIF('Test Cases'!I2:I124,"Not Executed")</f>
        <v/>
      </c>
    </row>
    <row r="17">
      <c r="A17" t="inlineStr">
        <is>
          <t>Pass rate (executed)</t>
        </is>
      </c>
      <c r="B17">
        <f>IF((B12+B13)=0,"-",TEXT(B12/(B12+B13),"0.0%"))</f>
        <v/>
      </c>
    </row>
    <row r="19">
      <c r="A19" t="inlineStr">
        <is>
          <t>Note</t>
        </is>
      </c>
      <c r="B19" t="inlineStr">
        <is>
          <t>Mark cases that were not run as Not Executed rather than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workbookViewId="0">
      <pane ySplit="1" topLeftCell="A6" activePane="bottomLeft" state="frozen"/>
      <selection pane="bottomLeft" activeCell="A11" sqref="A11:G11"/>
    </sheetView>
  </sheetViews>
  <sheetFormatPr baseColWidth="8" defaultRowHeight="14.4"/>
  <cols>
    <col width="9" customWidth="1" min="1" max="1"/>
    <col width="20" customWidth="1" min="2" max="2"/>
    <col width="13" customWidth="1" min="3" max="3"/>
    <col width="34" customWidth="1" min="4" max="4"/>
    <col width="26" customWidth="1" min="5" max="5"/>
    <col width="46" customWidth="1" min="6" max="6"/>
    <col width="44" customWidth="1" min="7" max="7"/>
    <col width="26" customWidth="1" min="8" max="8"/>
    <col width="15" customWidth="1" min="9" max="9"/>
    <col width="20" customWidth="1" min="10" max="10"/>
  </cols>
  <sheetData>
    <row r="1">
      <c r="A1" s="3" t="inlineStr">
        <is>
          <t>TC ID</t>
        </is>
      </c>
      <c r="B1" s="3" t="inlineStr">
        <is>
          <t>Module</t>
        </is>
      </c>
      <c r="C1" s="3" t="inlineStr">
        <is>
          <t>Requirement</t>
        </is>
      </c>
      <c r="D1" s="3" t="inlineStr">
        <is>
          <t>Test Case Description</t>
        </is>
      </c>
      <c r="E1" s="3" t="inlineStr">
        <is>
          <t>Precondition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Status</t>
        </is>
      </c>
      <c r="J1" s="3" t="inlineStr">
        <is>
          <t>Remarks</t>
        </is>
      </c>
    </row>
    <row r="2" ht="43.2" customHeight="1">
      <c r="A2" s="4" t="inlineStr">
        <is>
          <t>TC-001</t>
        </is>
      </c>
      <c r="B2" s="5" t="inlineStr">
        <is>
          <t>Environment</t>
        </is>
      </c>
      <c r="C2" s="5" t="inlineStr">
        <is>
          <t>-</t>
        </is>
      </c>
      <c r="D2" s="6" t="inlineStr">
        <is>
          <t>Start the full stack</t>
        </is>
      </c>
      <c r="E2" s="6" t="inlineStr">
        <is>
          <t>Docker Desktop running</t>
        </is>
      </c>
      <c r="F2" s="6" t="inlineStr">
        <is>
          <t>1. Open terminal in project root
2. Run: docker compose up -d
3. Wait for all containers</t>
        </is>
      </c>
      <c r="G2" s="6" t="inlineStr">
        <is>
          <t>All 13 containers reach Up state</t>
        </is>
      </c>
      <c r="H2" s="6" t="n"/>
      <c r="I2" s="6" t="inlineStr">
        <is>
          <t>Not Executed</t>
        </is>
      </c>
      <c r="J2" s="6" t="n"/>
    </row>
    <row r="3" ht="28.8" customHeight="1">
      <c r="A3" s="4" t="inlineStr">
        <is>
          <t>TC-002</t>
        </is>
      </c>
      <c r="B3" s="5" t="inlineStr">
        <is>
          <t>Environment</t>
        </is>
      </c>
      <c r="C3" s="5" t="inlineStr">
        <is>
          <t>-</t>
        </is>
      </c>
      <c r="D3" s="6" t="inlineStr">
        <is>
          <t>Verify service health</t>
        </is>
      </c>
      <c r="E3" s="6" t="inlineStr">
        <is>
          <t>Stack started</t>
        </is>
      </c>
      <c r="F3" s="6" t="inlineStr">
        <is>
          <t>1. Visit http://localhost:4000/health
2. Repeat for :4001 to :4006, :8001, :8002</t>
        </is>
      </c>
      <c r="G3" s="6" t="inlineStr">
        <is>
          <t>Each returns {"status":"ok"}</t>
        </is>
      </c>
      <c r="H3" s="6" t="n"/>
      <c r="I3" s="6" t="inlineStr">
        <is>
          <t>Not Executed</t>
        </is>
      </c>
      <c r="J3" s="6" t="n"/>
    </row>
    <row r="4">
      <c r="A4" s="4" t="inlineStr">
        <is>
          <t>TC-003</t>
        </is>
      </c>
      <c r="B4" s="5" t="inlineStr">
        <is>
          <t>Environment</t>
        </is>
      </c>
      <c r="C4" s="5" t="inlineStr">
        <is>
          <t>-</t>
        </is>
      </c>
      <c r="D4" s="6" t="inlineStr">
        <is>
          <t>Frontend loads</t>
        </is>
      </c>
      <c r="E4" s="6" t="inlineStr">
        <is>
          <t>Stack started</t>
        </is>
      </c>
      <c r="F4" s="6" t="inlineStr">
        <is>
          <t>1. Open http://localhost:3001</t>
        </is>
      </c>
      <c r="G4" s="6" t="inlineStr">
        <is>
          <t>Landing page renders without console errors</t>
        </is>
      </c>
      <c r="H4" s="6" t="n"/>
      <c r="I4" s="6" t="inlineStr">
        <is>
          <t>Not Executed</t>
        </is>
      </c>
      <c r="J4" s="6" t="n"/>
    </row>
    <row r="5" ht="28.8" customHeight="1">
      <c r="A5" s="4" t="inlineStr">
        <is>
          <t>TC-004</t>
        </is>
      </c>
      <c r="B5" s="5" t="inlineStr">
        <is>
          <t>Environment</t>
        </is>
      </c>
      <c r="C5" s="5" t="inlineStr">
        <is>
          <t>FR4.7</t>
        </is>
      </c>
      <c r="D5" s="6" t="inlineStr">
        <is>
          <t>Ontology auto-applied on startup</t>
        </is>
      </c>
      <c r="E5" s="6" t="inlineStr">
        <is>
          <t>ai-service started after Neo4j healthy</t>
        </is>
      </c>
      <c r="F5" s="6" t="inlineStr">
        <is>
          <t>1. Visit http://localhost:8001/ontology/summary</t>
        </is>
      </c>
      <c r="G5" s="6" t="inlineStr">
        <is>
          <t>available=true; 20 diseases, 24 symptoms, 8 vaccines, 48 INDICATES, 12 PREVENTS</t>
        </is>
      </c>
      <c r="H5" s="6" t="n"/>
      <c r="I5" s="6" t="inlineStr">
        <is>
          <t>Not Executed</t>
        </is>
      </c>
      <c r="J5" s="6" t="n"/>
    </row>
    <row r="6" ht="28.8" customHeight="1">
      <c r="A6" s="4" t="inlineStr">
        <is>
          <t>TC-005</t>
        </is>
      </c>
      <c r="B6" s="5" t="inlineStr">
        <is>
          <t>Environment</t>
        </is>
      </c>
      <c r="C6" s="5" t="inlineStr">
        <is>
          <t>FR3.1</t>
        </is>
      </c>
      <c r="D6" s="6" t="inlineStr">
        <is>
          <t>ML models loaded</t>
        </is>
      </c>
      <c r="E6" s="6" t="inlineStr">
        <is>
          <t>Stack started</t>
        </is>
      </c>
      <c r="F6" s="6" t="inlineStr">
        <is>
          <t>1. Visit http://localhost:8001/model/info</t>
        </is>
      </c>
      <c r="G6" s="6" t="inlineStr">
        <is>
          <t>condition_model_loaded=true, risk_model_loaded=true, accuracy 0.9029</t>
        </is>
      </c>
      <c r="H6" s="6" t="n"/>
      <c r="I6" s="6" t="inlineStr">
        <is>
          <t>Not Executed</t>
        </is>
      </c>
      <c r="J6" s="6" t="n"/>
    </row>
    <row r="7" ht="57.6" customHeight="1">
      <c r="A7" s="7" t="inlineStr">
        <is>
          <t>TC-006</t>
        </is>
      </c>
      <c r="B7" s="8" t="inlineStr">
        <is>
          <t>Authentication</t>
        </is>
      </c>
      <c r="C7" s="8" t="inlineStr">
        <is>
          <t>FR1.1</t>
        </is>
      </c>
      <c r="D7" s="6" t="inlineStr">
        <is>
          <t>Register a new pet owner</t>
        </is>
      </c>
      <c r="E7" s="6" t="inlineStr">
        <is>
          <t>Frontend open</t>
        </is>
      </c>
      <c r="F7" s="6" t="inlineStr">
        <is>
          <t>1. Click Create an account
2. Enter name, valid email, password
3. Select role Pet Owner
4. Submit</t>
        </is>
      </c>
      <c r="G7" s="6" t="inlineStr">
        <is>
          <t>Account created; redirected to owner dashboard</t>
        </is>
      </c>
      <c r="H7" s="6" t="inlineStr">
        <is>
          <t>Account created; redirected to owner dashboard</t>
        </is>
      </c>
      <c r="I7" s="23" t="inlineStr">
        <is>
          <t>Pass</t>
        </is>
      </c>
      <c r="J7" s="6" t="n"/>
    </row>
    <row r="8" ht="52.2" customHeight="1">
      <c r="A8" s="7" t="inlineStr">
        <is>
          <t>TC-007</t>
        </is>
      </c>
      <c r="B8" s="8" t="inlineStr">
        <is>
          <t>Authentication</t>
        </is>
      </c>
      <c r="C8" s="8" t="inlineStr">
        <is>
          <t>FR1.1</t>
        </is>
      </c>
      <c r="D8" s="6" t="inlineStr">
        <is>
          <t>Reject duplicate email</t>
        </is>
      </c>
      <c r="E8" s="6" t="inlineStr">
        <is>
          <t>An account already exists</t>
        </is>
      </c>
      <c r="F8" s="6" t="inlineStr">
        <is>
          <t>1. Register again with the same email</t>
        </is>
      </c>
      <c r="G8" s="6" t="inlineStr">
        <is>
          <t>Error: account with this email already exists</t>
        </is>
      </c>
      <c r="H8" s="6" t="inlineStr">
        <is>
          <t>Error: account with this email already exists</t>
        </is>
      </c>
      <c r="I8" s="23" t="inlineStr">
        <is>
          <t>Pass</t>
        </is>
      </c>
      <c r="J8" s="6" t="n"/>
    </row>
    <row r="9" ht="55.2" customHeight="1">
      <c r="A9" s="7" t="inlineStr">
        <is>
          <t>TC-008</t>
        </is>
      </c>
      <c r="B9" s="8" t="inlineStr">
        <is>
          <t>Authentication</t>
        </is>
      </c>
      <c r="C9" s="8" t="inlineStr">
        <is>
          <t>FR2.4</t>
        </is>
      </c>
      <c r="D9" s="6" t="inlineStr">
        <is>
          <t>Reject invalid email format</t>
        </is>
      </c>
      <c r="E9" s="6" t="inlineStr">
        <is>
          <t>Register page open</t>
        </is>
      </c>
      <c r="F9" s="6" t="inlineStr">
        <is>
          <t>1. Enter 'abc' as email
2. Submit</t>
        </is>
      </c>
      <c r="G9" s="6" t="inlineStr">
        <is>
          <t>Validation error shown; form not submitted</t>
        </is>
      </c>
      <c r="H9" s="6" t="inlineStr">
        <is>
          <t>It request for a @ symbol to compete the email</t>
        </is>
      </c>
      <c r="I9" s="23" t="inlineStr">
        <is>
          <t>Pass</t>
        </is>
      </c>
      <c r="J9" s="6" t="n"/>
    </row>
    <row r="10" ht="51.6" customHeight="1">
      <c r="A10" s="7" t="inlineStr">
        <is>
          <t>TC-009</t>
        </is>
      </c>
      <c r="B10" s="8" t="inlineStr">
        <is>
          <t>Authentication</t>
        </is>
      </c>
      <c r="C10" s="8" t="inlineStr">
        <is>
          <t>FR1.1</t>
        </is>
      </c>
      <c r="D10" s="6" t="inlineStr">
        <is>
          <t>Reject short/empty password</t>
        </is>
      </c>
      <c r="E10" s="6" t="inlineStr">
        <is>
          <t>Register page open</t>
        </is>
      </c>
      <c r="F10" s="6" t="inlineStr">
        <is>
          <t>1. Leave password blank
2. Submit</t>
        </is>
      </c>
      <c r="G10" s="6" t="inlineStr">
        <is>
          <t>Validation error; form not submitted</t>
        </is>
      </c>
      <c r="H10" s="6" t="inlineStr">
        <is>
          <t>It cannot keep empty "At least 9 characters" error display</t>
        </is>
      </c>
      <c r="I10" s="23" t="inlineStr">
        <is>
          <t>Pass</t>
        </is>
      </c>
      <c r="J10" s="6" t="n"/>
    </row>
    <row r="11" ht="28.8" customHeight="1">
      <c r="A11" s="7" t="inlineStr">
        <is>
          <t>TC-010</t>
        </is>
      </c>
      <c r="B11" s="8" t="inlineStr">
        <is>
          <t>Authentication</t>
        </is>
      </c>
      <c r="C11" s="8" t="inlineStr">
        <is>
          <t>FR1.2</t>
        </is>
      </c>
      <c r="D11" s="6" t="inlineStr">
        <is>
          <t>Veterinarian self-registration is prevented (UI + API)</t>
        </is>
      </c>
      <c r="E11" s="6" t="inlineStr">
        <is>
          <t>Register page open; a REST client (Postman/curl) available</t>
        </is>
      </c>
      <c r="F11" s="6" t="inlineStr">
        <is>
          <t>1. On the Register form, open the Role selector and list the available options
2. Confirm Veterinarian is NOT offered
3. Bypass the UI: POST to http://localhost:4000/api/auth/register with body
   {"email":"x@test.com","password":"TestPass123!","displayName":"X","role":"veterinarian"}
4. Check the users collection for that email</t>
        </is>
      </c>
      <c r="G11" s="6" t="inlineStr">
        <is>
          <t>Step 2: only Pet Owner and Admin are selectable - Veterinarian is absent.
Step 3: HTTP 403 with message 'Veterinarian accounts are created by an administrator'.
Step 4: no account created.
Demonstrates defence in depth - the control does not rely on the UI alone.</t>
        </is>
      </c>
      <c r="H11" s="6" t="n"/>
      <c r="I11" s="6" t="inlineStr">
        <is>
          <t>Not Executed</t>
        </is>
      </c>
      <c r="J11" s="6" t="inlineStr">
        <is>
          <t>Defence in depth: UI restricts the choice, API independently enforces it.</t>
        </is>
      </c>
    </row>
    <row r="12" ht="28.8" customHeight="1">
      <c r="A12" s="7" t="inlineStr">
        <is>
          <t>TC-011</t>
        </is>
      </c>
      <c r="B12" s="8" t="inlineStr">
        <is>
          <t>Authentication</t>
        </is>
      </c>
      <c r="C12" s="8" t="inlineStr">
        <is>
          <t>FR1.1</t>
        </is>
      </c>
      <c r="D12" s="6" t="inlineStr">
        <is>
          <t>Login with valid credentials</t>
        </is>
      </c>
      <c r="E12" s="6" t="inlineStr">
        <is>
          <t>Account exists</t>
        </is>
      </c>
      <c r="F12" s="6" t="inlineStr">
        <is>
          <t>1. Enter email and password
2. Click Login</t>
        </is>
      </c>
      <c r="G12" s="6" t="inlineStr">
        <is>
          <t>Logged in; role-appropriate dashboard shown</t>
        </is>
      </c>
      <c r="H12" s="6" t="n"/>
      <c r="I12" s="6" t="inlineStr">
        <is>
          <t>Not Executed</t>
        </is>
      </c>
      <c r="J12" s="6" t="n"/>
    </row>
    <row r="13">
      <c r="A13" s="7" t="inlineStr">
        <is>
          <t>TC-012</t>
        </is>
      </c>
      <c r="B13" s="8" t="inlineStr">
        <is>
          <t>Authentication</t>
        </is>
      </c>
      <c r="C13" s="8" t="inlineStr">
        <is>
          <t>FR1.1</t>
        </is>
      </c>
      <c r="D13" s="6" t="inlineStr">
        <is>
          <t>Reject wrong password</t>
        </is>
      </c>
      <c r="E13" s="6" t="inlineStr">
        <is>
          <t>Account exists</t>
        </is>
      </c>
      <c r="F13" s="6" t="inlineStr">
        <is>
          <t>1. Enter correct email, wrong password</t>
        </is>
      </c>
      <c r="G13" s="6" t="inlineStr">
        <is>
          <t>Error: Invalid email or password</t>
        </is>
      </c>
      <c r="H13" s="6" t="n"/>
      <c r="I13" s="6" t="inlineStr">
        <is>
          <t>Not Executed</t>
        </is>
      </c>
      <c r="J13" s="6" t="n"/>
    </row>
    <row r="14">
      <c r="A14" s="7" t="inlineStr">
        <is>
          <t>TC-013</t>
        </is>
      </c>
      <c r="B14" s="8" t="inlineStr">
        <is>
          <t>Authentication</t>
        </is>
      </c>
      <c r="C14" s="8" t="inlineStr">
        <is>
          <t>FR1.1</t>
        </is>
      </c>
      <c r="D14" s="6" t="inlineStr">
        <is>
          <t>Reject unknown account</t>
        </is>
      </c>
      <c r="E14" s="6" t="inlineStr">
        <is>
          <t>-</t>
        </is>
      </c>
      <c r="F14" s="6" t="inlineStr">
        <is>
          <t>1. Enter an unregistered email</t>
        </is>
      </c>
      <c r="G14" s="6" t="inlineStr">
        <is>
          <t>Error: Invalid email or password</t>
        </is>
      </c>
      <c r="H14" s="6" t="n"/>
      <c r="I14" s="6" t="inlineStr">
        <is>
          <t>Not Executed</t>
        </is>
      </c>
      <c r="J14" s="6" t="n"/>
    </row>
    <row r="15" ht="28.8" customHeight="1">
      <c r="A15" s="7" t="inlineStr">
        <is>
          <t>TC-014</t>
        </is>
      </c>
      <c r="B15" s="8" t="inlineStr">
        <is>
          <t>Authentication</t>
        </is>
      </c>
      <c r="C15" s="8" t="inlineStr">
        <is>
          <t>FR1.2</t>
        </is>
      </c>
      <c r="D15" s="6" t="inlineStr">
        <is>
          <t>Role-based routing</t>
        </is>
      </c>
      <c r="E15" s="6" t="inlineStr">
        <is>
          <t>Accounts exist for all 3 roles</t>
        </is>
      </c>
      <c r="F15" s="6" t="inlineStr">
        <is>
          <t>1. Log in as owner, then vet, then admin</t>
        </is>
      </c>
      <c r="G15" s="6" t="inlineStr">
        <is>
          <t>Each lands on their own dashboard, not another role's</t>
        </is>
      </c>
      <c r="H15" s="6" t="n"/>
      <c r="I15" s="6" t="inlineStr">
        <is>
          <t>Not Executed</t>
        </is>
      </c>
      <c r="J15" s="6" t="n"/>
    </row>
    <row r="16">
      <c r="A16" s="7" t="inlineStr">
        <is>
          <t>TC-015</t>
        </is>
      </c>
      <c r="B16" s="8" t="inlineStr">
        <is>
          <t>Authentication</t>
        </is>
      </c>
      <c r="C16" s="8" t="inlineStr">
        <is>
          <t>NFR2</t>
        </is>
      </c>
      <c r="D16" s="6" t="inlineStr">
        <is>
          <t>Session persists on refresh</t>
        </is>
      </c>
      <c r="E16" s="6" t="inlineStr">
        <is>
          <t>Logged in</t>
        </is>
      </c>
      <c r="F16" s="6" t="inlineStr">
        <is>
          <t>1. Press F5</t>
        </is>
      </c>
      <c r="G16" s="6" t="inlineStr">
        <is>
          <t>Still logged in; not returned to login page</t>
        </is>
      </c>
      <c r="H16" s="6" t="n"/>
      <c r="I16" s="6" t="inlineStr">
        <is>
          <t>Not Executed</t>
        </is>
      </c>
      <c r="J16" s="6" t="n"/>
    </row>
    <row r="17" ht="28.8" customHeight="1">
      <c r="A17" s="7" t="inlineStr">
        <is>
          <t>TC-016</t>
        </is>
      </c>
      <c r="B17" s="8" t="inlineStr">
        <is>
          <t>Authentication</t>
        </is>
      </c>
      <c r="C17" s="8" t="inlineStr">
        <is>
          <t>NFR2</t>
        </is>
      </c>
      <c r="D17" s="6" t="inlineStr">
        <is>
          <t>Logout clears session</t>
        </is>
      </c>
      <c r="E17" s="6" t="inlineStr">
        <is>
          <t>Logged in</t>
        </is>
      </c>
      <c r="F17" s="6" t="inlineStr">
        <is>
          <t>1. Click Logout
2. Press Back</t>
        </is>
      </c>
      <c r="G17" s="6" t="inlineStr">
        <is>
          <t>Returned to login; protected pages not accessible</t>
        </is>
      </c>
      <c r="H17" s="6" t="n"/>
      <c r="I17" s="6" t="inlineStr">
        <is>
          <t>Not Executed</t>
        </is>
      </c>
      <c r="J17" s="6" t="n"/>
    </row>
    <row r="18" ht="57.6" customHeight="1">
      <c r="A18" s="9" t="inlineStr">
        <is>
          <t>TC-017</t>
        </is>
      </c>
      <c r="B18" s="10" t="inlineStr">
        <is>
          <t>Admin - Clinics</t>
        </is>
      </c>
      <c r="C18" s="10" t="inlineStr">
        <is>
          <t>FR8.1</t>
        </is>
      </c>
      <c r="D18" s="6" t="inlineStr">
        <is>
          <t>Add a clinic</t>
        </is>
      </c>
      <c r="E18" s="6" t="inlineStr">
        <is>
          <t>Logged in as admin</t>
        </is>
      </c>
      <c r="F18" s="6" t="inlineStr">
        <is>
          <t>1. Clinics &gt; Add Clinic
2. Name, address, lat 6.9271, lng 79.8612, phone, specialisation
3. Save</t>
        </is>
      </c>
      <c r="G18" s="6" t="inlineStr">
        <is>
          <t>Clinic created and listed</t>
        </is>
      </c>
      <c r="H18" s="6" t="n"/>
      <c r="I18" s="6" t="inlineStr">
        <is>
          <t>Not Executed</t>
        </is>
      </c>
      <c r="J18" s="6" t="n"/>
    </row>
    <row r="19" ht="28.8" customHeight="1">
      <c r="A19" s="9" t="inlineStr">
        <is>
          <t>TC-018</t>
        </is>
      </c>
      <c r="B19" s="10" t="inlineStr">
        <is>
          <t>Admin - Clinics</t>
        </is>
      </c>
      <c r="C19" s="10" t="inlineStr">
        <is>
          <t>FR2.4</t>
        </is>
      </c>
      <c r="D19" s="6" t="inlineStr">
        <is>
          <t>Reject clinic with missing name</t>
        </is>
      </c>
      <c r="E19" s="6" t="inlineStr">
        <is>
          <t>Add Clinic form open</t>
        </is>
      </c>
      <c r="F19" s="6" t="inlineStr">
        <is>
          <t>1. Leave name blank
2. Save</t>
        </is>
      </c>
      <c r="G19" s="6" t="inlineStr">
        <is>
          <t>Validation error; clinic not created</t>
        </is>
      </c>
      <c r="H19" s="6" t="n"/>
      <c r="I19" s="6" t="inlineStr">
        <is>
          <t>Not Executed</t>
        </is>
      </c>
      <c r="J19" s="6" t="n"/>
    </row>
    <row r="20" ht="43.2" customHeight="1">
      <c r="A20" s="9" t="inlineStr">
        <is>
          <t>TC-019</t>
        </is>
      </c>
      <c r="B20" s="10" t="inlineStr">
        <is>
          <t>Admin - Clinics</t>
        </is>
      </c>
      <c r="C20" s="10" t="inlineStr">
        <is>
          <t>FR8.1</t>
        </is>
      </c>
      <c r="D20" s="6" t="inlineStr">
        <is>
          <t>Edit clinic details</t>
        </is>
      </c>
      <c r="E20" s="6" t="inlineStr">
        <is>
          <t>A clinic exists</t>
        </is>
      </c>
      <c r="F20" s="6" t="inlineStr">
        <is>
          <t>1. Click edit
2. Change phone
3. Save</t>
        </is>
      </c>
      <c r="G20" s="6" t="inlineStr">
        <is>
          <t>Updated value shown in the list</t>
        </is>
      </c>
      <c r="H20" s="6" t="n"/>
      <c r="I20" s="6" t="inlineStr">
        <is>
          <t>Not Executed</t>
        </is>
      </c>
      <c r="J20" s="6" t="n"/>
    </row>
    <row r="21" ht="28.8" customHeight="1">
      <c r="A21" s="9" t="inlineStr">
        <is>
          <t>TC-020</t>
        </is>
      </c>
      <c r="B21" s="10" t="inlineStr">
        <is>
          <t>Admin - Clinics</t>
        </is>
      </c>
      <c r="C21" s="10" t="inlineStr">
        <is>
          <t>FR8.1</t>
        </is>
      </c>
      <c r="D21" s="6" t="inlineStr">
        <is>
          <t>Add a surgeon to a clinic</t>
        </is>
      </c>
      <c r="E21" s="6" t="inlineStr">
        <is>
          <t>A clinic exists</t>
        </is>
      </c>
      <c r="F21" s="6" t="inlineStr">
        <is>
          <t>1. Enter surgeon name and specialisation
2. Click Add Surgeon</t>
        </is>
      </c>
      <c r="G21" s="6" t="inlineStr">
        <is>
          <t>Surgeon appears under the clinic</t>
        </is>
      </c>
      <c r="H21" s="6" t="n"/>
      <c r="I21" s="6" t="inlineStr">
        <is>
          <t>Not Executed</t>
        </is>
      </c>
      <c r="J21" s="6" t="n"/>
    </row>
    <row r="22" ht="28.8" customHeight="1">
      <c r="A22" s="9" t="inlineStr">
        <is>
          <t>TC-021</t>
        </is>
      </c>
      <c r="B22" s="10" t="inlineStr">
        <is>
          <t>Admin - Clinics</t>
        </is>
      </c>
      <c r="C22" s="10" t="inlineStr">
        <is>
          <t>RQ5</t>
        </is>
      </c>
      <c r="D22" s="6" t="inlineStr">
        <is>
          <t>Link surgeon to a vet account</t>
        </is>
      </c>
      <c r="E22" s="6" t="inlineStr">
        <is>
          <t>A vet account and a surgeon exist</t>
        </is>
      </c>
      <c r="F22" s="6" t="inlineStr">
        <is>
          <t>1. In the surgeon row, choose the vet from the account dropdown</t>
        </is>
      </c>
      <c r="G22" s="6" t="inlineStr">
        <is>
          <t>Selection persists after page refresh</t>
        </is>
      </c>
      <c r="H22" s="6" t="n"/>
      <c r="I22" s="6" t="inlineStr">
        <is>
          <t>Not Executed</t>
        </is>
      </c>
      <c r="J22" s="6" t="n"/>
    </row>
    <row r="23" ht="28.8" customHeight="1">
      <c r="A23" s="9" t="inlineStr">
        <is>
          <t>TC-022</t>
        </is>
      </c>
      <c r="B23" s="10" t="inlineStr">
        <is>
          <t>Admin - Clinics</t>
        </is>
      </c>
      <c r="C23" s="10" t="inlineStr">
        <is>
          <t>FR6.3</t>
        </is>
      </c>
      <c r="D23" s="6" t="inlineStr">
        <is>
          <t>Add a time slot</t>
        </is>
      </c>
      <c r="E23" s="6" t="inlineStr">
        <is>
          <t>A surgeon exists</t>
        </is>
      </c>
      <c r="F23" s="6" t="inlineStr">
        <is>
          <t>1. Pick a future date and time
2. Click Add Slot</t>
        </is>
      </c>
      <c r="G23" s="6" t="inlineStr">
        <is>
          <t>Slot listed as available</t>
        </is>
      </c>
      <c r="H23" s="6" t="n"/>
      <c r="I23" s="6" t="inlineStr">
        <is>
          <t>Not Executed</t>
        </is>
      </c>
      <c r="J23" s="6" t="n"/>
    </row>
    <row r="24" ht="28.8" customHeight="1">
      <c r="A24" s="9" t="inlineStr">
        <is>
          <t>TC-023</t>
        </is>
      </c>
      <c r="B24" s="10" t="inlineStr">
        <is>
          <t>Admin - Clinics</t>
        </is>
      </c>
      <c r="C24" s="10" t="inlineStr">
        <is>
          <t>FR8.1</t>
        </is>
      </c>
      <c r="D24" s="6" t="inlineStr">
        <is>
          <t>Delete a surgeon</t>
        </is>
      </c>
      <c r="E24" s="6" t="inlineStr">
        <is>
          <t>A surgeon exists</t>
        </is>
      </c>
      <c r="F24" s="6" t="inlineStr">
        <is>
          <t>1. Click the delete icon
2. Confirm</t>
        </is>
      </c>
      <c r="G24" s="6" t="inlineStr">
        <is>
          <t>Surgeon and their slots removed</t>
        </is>
      </c>
      <c r="H24" s="6" t="n"/>
      <c r="I24" s="6" t="inlineStr">
        <is>
          <t>Not Executed</t>
        </is>
      </c>
      <c r="J24" s="6" t="n"/>
    </row>
    <row r="25" ht="28.8" customHeight="1">
      <c r="A25" s="9" t="inlineStr">
        <is>
          <t>TC-024</t>
        </is>
      </c>
      <c r="B25" s="10" t="inlineStr">
        <is>
          <t>Admin - Clinics</t>
        </is>
      </c>
      <c r="C25" s="10" t="inlineStr">
        <is>
          <t>FR8.1</t>
        </is>
      </c>
      <c r="D25" s="6" t="inlineStr">
        <is>
          <t>Delete a clinic</t>
        </is>
      </c>
      <c r="E25" s="6" t="inlineStr">
        <is>
          <t>A clinic exists</t>
        </is>
      </c>
      <c r="F25" s="6" t="inlineStr">
        <is>
          <t>1. Click delete
2. Confirm</t>
        </is>
      </c>
      <c r="G25" s="6" t="inlineStr">
        <is>
          <t>Clinic, its surgeons and slots removed</t>
        </is>
      </c>
      <c r="H25" s="6" t="n"/>
      <c r="I25" s="6" t="inlineStr">
        <is>
          <t>Not Executed</t>
        </is>
      </c>
      <c r="J25" s="6" t="n"/>
    </row>
    <row r="26" ht="57.6" customHeight="1">
      <c r="A26" s="11" t="inlineStr">
        <is>
          <t>TC-025</t>
        </is>
      </c>
      <c r="B26" s="12" t="inlineStr">
        <is>
          <t>Admin - Vets</t>
        </is>
      </c>
      <c r="C26" s="12" t="inlineStr">
        <is>
          <t>FR8.2</t>
        </is>
      </c>
      <c r="D26" s="6" t="inlineStr">
        <is>
          <t>Provision a veterinarian account</t>
        </is>
      </c>
      <c r="E26" s="6" t="inlineStr">
        <is>
          <t>Logged in as admin</t>
        </is>
      </c>
      <c r="F26" s="6" t="inlineStr">
        <is>
          <t>1. Add Veterinarian
2. Complete all fields incl. registration no. and temp password
3. Save</t>
        </is>
      </c>
      <c r="G26" s="6" t="inlineStr">
        <is>
          <t>Vet created and listed as Active</t>
        </is>
      </c>
      <c r="H26" s="6" t="n"/>
      <c r="I26" s="6" t="inlineStr">
        <is>
          <t>Not Executed</t>
        </is>
      </c>
      <c r="J26" s="6" t="n"/>
    </row>
    <row r="27">
      <c r="A27" s="11" t="inlineStr">
        <is>
          <t>TC-026</t>
        </is>
      </c>
      <c r="B27" s="12" t="inlineStr">
        <is>
          <t>Admin - Vets</t>
        </is>
      </c>
      <c r="C27" s="12" t="inlineStr">
        <is>
          <t>FR8.2</t>
        </is>
      </c>
      <c r="D27" s="6" t="inlineStr">
        <is>
          <t>Reject duplicate registration number</t>
        </is>
      </c>
      <c r="E27" s="6" t="inlineStr">
        <is>
          <t>A vet exists</t>
        </is>
      </c>
      <c r="F27" s="6" t="inlineStr">
        <is>
          <t>1. Add another vet with the same reg. no.</t>
        </is>
      </c>
      <c r="G27" s="6" t="inlineStr">
        <is>
          <t>Error: duplicate email or registration number</t>
        </is>
      </c>
      <c r="H27" s="6" t="n"/>
      <c r="I27" s="6" t="inlineStr">
        <is>
          <t>Not Executed</t>
        </is>
      </c>
      <c r="J27" s="6" t="n"/>
    </row>
    <row r="28" ht="28.8" customHeight="1">
      <c r="A28" s="11" t="inlineStr">
        <is>
          <t>TC-027</t>
        </is>
      </c>
      <c r="B28" s="12" t="inlineStr">
        <is>
          <t>Admin - Vets</t>
        </is>
      </c>
      <c r="C28" s="12" t="inlineStr">
        <is>
          <t>FR8.2</t>
        </is>
      </c>
      <c r="D28" s="6" t="inlineStr">
        <is>
          <t>Credentials notification dispatched</t>
        </is>
      </c>
      <c r="E28" s="6" t="inlineStr">
        <is>
          <t>Vet just created</t>
        </is>
      </c>
      <c r="F28" s="6" t="inlineStr">
        <is>
          <t>1. Check notification-service logs or the notifications collection</t>
        </is>
      </c>
      <c r="G28" s="6" t="inlineStr">
        <is>
          <t>vet_credentials entry recorded for the new vet</t>
        </is>
      </c>
      <c r="H28" s="6" t="n"/>
      <c r="I28" s="6" t="inlineStr">
        <is>
          <t>Not Executed</t>
        </is>
      </c>
      <c r="J28" s="6" t="n"/>
    </row>
    <row r="29" ht="28.8" customHeight="1">
      <c r="A29" s="11" t="inlineStr">
        <is>
          <t>TC-028</t>
        </is>
      </c>
      <c r="B29" s="12" t="inlineStr">
        <is>
          <t>Admin - Vets</t>
        </is>
      </c>
      <c r="C29" s="12" t="inlineStr">
        <is>
          <t>FR1.1</t>
        </is>
      </c>
      <c r="D29" s="6" t="inlineStr">
        <is>
          <t>Forced password change on first login</t>
        </is>
      </c>
      <c r="E29" s="6" t="inlineStr">
        <is>
          <t>Admin-created vet exists</t>
        </is>
      </c>
      <c r="F29" s="6" t="inlineStr">
        <is>
          <t>1. Log in as that vet with the temporary password</t>
        </is>
      </c>
      <c r="G29" s="6" t="inlineStr">
        <is>
          <t>Redirected to Change Password before any dashboard access</t>
        </is>
      </c>
      <c r="H29" s="6" t="n"/>
      <c r="I29" s="6" t="inlineStr">
        <is>
          <t>Not Executed</t>
        </is>
      </c>
      <c r="J29" s="6" t="n"/>
    </row>
    <row r="30">
      <c r="A30" s="11" t="inlineStr">
        <is>
          <t>TC-029</t>
        </is>
      </c>
      <c r="B30" s="12" t="inlineStr">
        <is>
          <t>Admin - Vets</t>
        </is>
      </c>
      <c r="C30" s="12" t="inlineStr">
        <is>
          <t>FR8.2</t>
        </is>
      </c>
      <c r="D30" s="6" t="inlineStr">
        <is>
          <t>Deactivate a veterinarian</t>
        </is>
      </c>
      <c r="E30" s="6" t="inlineStr">
        <is>
          <t>A vet exists</t>
        </is>
      </c>
      <c r="F30" s="6" t="inlineStr">
        <is>
          <t>1. Toggle status to Inactive</t>
        </is>
      </c>
      <c r="G30" s="6" t="inlineStr">
        <is>
          <t>Status changes; active count decreases</t>
        </is>
      </c>
      <c r="H30" s="6" t="n"/>
      <c r="I30" s="6" t="inlineStr">
        <is>
          <t>Not Executed</t>
        </is>
      </c>
      <c r="J30" s="6" t="n"/>
    </row>
    <row r="31" ht="28.8" customHeight="1">
      <c r="A31" s="11" t="inlineStr">
        <is>
          <t>TC-030</t>
        </is>
      </c>
      <c r="B31" s="12" t="inlineStr">
        <is>
          <t>Admin - Vets</t>
        </is>
      </c>
      <c r="C31" s="12" t="inlineStr">
        <is>
          <t>FR8.2</t>
        </is>
      </c>
      <c r="D31" s="6" t="inlineStr">
        <is>
          <t>Delete a veterinarian</t>
        </is>
      </c>
      <c r="E31" s="6" t="inlineStr">
        <is>
          <t>A vet exists</t>
        </is>
      </c>
      <c r="F31" s="6" t="inlineStr">
        <is>
          <t>1. Click delete
2. Confirm</t>
        </is>
      </c>
      <c r="G31" s="6" t="inlineStr">
        <is>
          <t>Vet removed from roster; login with those credentials fails</t>
        </is>
      </c>
      <c r="H31" s="6" t="n"/>
      <c r="I31" s="6" t="inlineStr">
        <is>
          <t>Not Executed</t>
        </is>
      </c>
      <c r="J31" s="6" t="n"/>
    </row>
    <row r="32">
      <c r="A32" s="11" t="inlineStr">
        <is>
          <t>TC-031</t>
        </is>
      </c>
      <c r="B32" s="12" t="inlineStr">
        <is>
          <t>Admin - Vets</t>
        </is>
      </c>
      <c r="C32" s="12" t="inlineStr">
        <is>
          <t>NFR2</t>
        </is>
      </c>
      <c r="D32" s="6" t="inlineStr">
        <is>
          <t>Admin cannot delete own account</t>
        </is>
      </c>
      <c r="E32" s="6" t="inlineStr">
        <is>
          <t>Logged in as admin</t>
        </is>
      </c>
      <c r="F32" s="6" t="inlineStr">
        <is>
          <t>1. Attempt to delete your own admin account</t>
        </is>
      </c>
      <c r="G32" s="6" t="inlineStr">
        <is>
          <t>Blocked with an explanatory message</t>
        </is>
      </c>
      <c r="H32" s="6" t="n"/>
      <c r="I32" s="6" t="inlineStr">
        <is>
          <t>Not Executed</t>
        </is>
      </c>
      <c r="J32" s="6" t="n"/>
    </row>
    <row r="33" ht="43.2" customHeight="1">
      <c r="A33" s="13" t="inlineStr">
        <is>
          <t>TC-032</t>
        </is>
      </c>
      <c r="B33" s="14" t="inlineStr">
        <is>
          <t>Pet Management</t>
        </is>
      </c>
      <c r="C33" s="14" t="inlineStr">
        <is>
          <t>FR1.3</t>
        </is>
      </c>
      <c r="D33" s="6" t="inlineStr">
        <is>
          <t>Add a pet</t>
        </is>
      </c>
      <c r="E33" s="6" t="inlineStr">
        <is>
          <t>Logged in as owner</t>
        </is>
      </c>
      <c r="F33" s="6" t="inlineStr">
        <is>
          <t>1. Add Pet
2. Name, species Dog, breed, age, weight, sex
3. Save</t>
        </is>
      </c>
      <c r="G33" s="6" t="inlineStr">
        <is>
          <t>Pet created and shown on the dashboard</t>
        </is>
      </c>
      <c r="H33" s="6" t="n"/>
      <c r="I33" s="6" t="inlineStr">
        <is>
          <t>Not Executed</t>
        </is>
      </c>
      <c r="J33" s="6" t="n"/>
    </row>
    <row r="34" ht="28.8" customHeight="1">
      <c r="A34" s="13" t="inlineStr">
        <is>
          <t>TC-033</t>
        </is>
      </c>
      <c r="B34" s="14" t="inlineStr">
        <is>
          <t>Pet Management</t>
        </is>
      </c>
      <c r="C34" s="14" t="inlineStr">
        <is>
          <t>FR2.4</t>
        </is>
      </c>
      <c r="D34" s="6" t="inlineStr">
        <is>
          <t>Reject pet with missing name</t>
        </is>
      </c>
      <c r="E34" s="6" t="inlineStr">
        <is>
          <t>Add Pet form open</t>
        </is>
      </c>
      <c r="F34" s="6" t="inlineStr">
        <is>
          <t>1. Leave name blank
2. Save</t>
        </is>
      </c>
      <c r="G34" s="6" t="inlineStr">
        <is>
          <t>Validation error; pet not created</t>
        </is>
      </c>
      <c r="H34" s="6" t="n"/>
      <c r="I34" s="6" t="inlineStr">
        <is>
          <t>Not Executed</t>
        </is>
      </c>
      <c r="J34" s="6" t="n"/>
    </row>
    <row r="35" ht="43.2" customHeight="1">
      <c r="A35" s="13" t="inlineStr">
        <is>
          <t>TC-034</t>
        </is>
      </c>
      <c r="B35" s="14" t="inlineStr">
        <is>
          <t>Pet Management</t>
        </is>
      </c>
      <c r="C35" s="14" t="inlineStr">
        <is>
          <t>FR1.3</t>
        </is>
      </c>
      <c r="D35" s="6" t="inlineStr">
        <is>
          <t>Upload a pet photo</t>
        </is>
      </c>
      <c r="E35" s="6" t="inlineStr">
        <is>
          <t>A pet exists</t>
        </is>
      </c>
      <c r="F35" s="6" t="inlineStr">
        <is>
          <t>1. Edit pet
2. Upload an image
3. Save</t>
        </is>
      </c>
      <c r="G35" s="6" t="inlineStr">
        <is>
          <t>Photo displays on the pet card</t>
        </is>
      </c>
      <c r="H35" s="6" t="n"/>
      <c r="I35" s="6" t="inlineStr">
        <is>
          <t>Not Executed</t>
        </is>
      </c>
      <c r="J35" s="6" t="n"/>
    </row>
    <row r="36" ht="28.8" customHeight="1">
      <c r="A36" s="13" t="inlineStr">
        <is>
          <t>TC-035</t>
        </is>
      </c>
      <c r="B36" s="14" t="inlineStr">
        <is>
          <t>Pet Management</t>
        </is>
      </c>
      <c r="C36" s="14" t="inlineStr">
        <is>
          <t>FR1.3</t>
        </is>
      </c>
      <c r="D36" s="6" t="inlineStr">
        <is>
          <t>Edit pet details</t>
        </is>
      </c>
      <c r="E36" s="6" t="inlineStr">
        <is>
          <t>A pet exists</t>
        </is>
      </c>
      <c r="F36" s="6" t="inlineStr">
        <is>
          <t>1. Change weight
2. Save</t>
        </is>
      </c>
      <c r="G36" s="6" t="inlineStr">
        <is>
          <t>Updated value shown</t>
        </is>
      </c>
      <c r="H36" s="6" t="n"/>
      <c r="I36" s="6" t="inlineStr">
        <is>
          <t>Not Executed</t>
        </is>
      </c>
      <c r="J36" s="6" t="n"/>
    </row>
    <row r="37">
      <c r="A37" s="13" t="inlineStr">
        <is>
          <t>TC-036</t>
        </is>
      </c>
      <c r="B37" s="14" t="inlineStr">
        <is>
          <t>Pet Management</t>
        </is>
      </c>
      <c r="C37" s="14" t="inlineStr">
        <is>
          <t>FR1.4</t>
        </is>
      </c>
      <c r="D37" s="6" t="inlineStr">
        <is>
          <t>Support multiple pets</t>
        </is>
      </c>
      <c r="E37" s="6" t="inlineStr">
        <is>
          <t>One pet exists</t>
        </is>
      </c>
      <c r="F37" s="6" t="inlineStr">
        <is>
          <t>1. Add a second and third pet</t>
        </is>
      </c>
      <c r="G37" s="6" t="inlineStr">
        <is>
          <t>All appear; each has its own profile and history</t>
        </is>
      </c>
      <c r="H37" s="6" t="n"/>
      <c r="I37" s="6" t="inlineStr">
        <is>
          <t>Not Executed</t>
        </is>
      </c>
      <c r="J37" s="6" t="n"/>
    </row>
    <row r="38" ht="28.8" customHeight="1">
      <c r="A38" s="13" t="inlineStr">
        <is>
          <t>TC-037</t>
        </is>
      </c>
      <c r="B38" s="14" t="inlineStr">
        <is>
          <t>Pet Management</t>
        </is>
      </c>
      <c r="C38" s="14" t="inlineStr">
        <is>
          <t>FR1.3</t>
        </is>
      </c>
      <c r="D38" s="6" t="inlineStr">
        <is>
          <t>Delete a pet</t>
        </is>
      </c>
      <c r="E38" s="6" t="inlineStr">
        <is>
          <t>A pet exists</t>
        </is>
      </c>
      <c r="F38" s="6" t="inlineStr">
        <is>
          <t>1. Delete
2. Confirm</t>
        </is>
      </c>
      <c r="G38" s="6" t="inlineStr">
        <is>
          <t>Pet removed from the list</t>
        </is>
      </c>
      <c r="H38" s="6" t="n"/>
      <c r="I38" s="6" t="inlineStr">
        <is>
          <t>Not Executed</t>
        </is>
      </c>
      <c r="J38" s="6" t="n"/>
    </row>
    <row r="39" ht="28.8" customHeight="1">
      <c r="A39" s="13" t="inlineStr">
        <is>
          <t>TC-038</t>
        </is>
      </c>
      <c r="B39" s="14" t="inlineStr">
        <is>
          <t>Pet Management</t>
        </is>
      </c>
      <c r="C39" s="14" t="inlineStr">
        <is>
          <t>NFR2</t>
        </is>
      </c>
      <c r="D39" s="6" t="inlineStr">
        <is>
          <t>Owner cannot access another owner's pet</t>
        </is>
      </c>
      <c r="E39" s="6" t="inlineStr">
        <is>
          <t>Two owner accounts with pets</t>
        </is>
      </c>
      <c r="F39" s="6" t="inlineStr">
        <is>
          <t>1. As owner A, open a URL containing owner B's pet id</t>
        </is>
      </c>
      <c r="G39" s="6" t="inlineStr">
        <is>
          <t>Access denied (403); pet not shown</t>
        </is>
      </c>
      <c r="H39" s="6" t="n"/>
      <c r="I39" s="6" t="inlineStr">
        <is>
          <t>Not Executed</t>
        </is>
      </c>
      <c r="J39" s="6" t="n"/>
    </row>
    <row r="40" ht="43.2" customHeight="1">
      <c r="A40" s="15" t="inlineStr">
        <is>
          <t>TC-039</t>
        </is>
      </c>
      <c r="B40" s="16" t="inlineStr">
        <is>
          <t>Vaccination</t>
        </is>
      </c>
      <c r="C40" s="16" t="inlineStr">
        <is>
          <t>FR5.1</t>
        </is>
      </c>
      <c r="D40" s="6" t="inlineStr">
        <is>
          <t>Add a vaccination record</t>
        </is>
      </c>
      <c r="E40" s="6" t="inlineStr">
        <is>
          <t>A pet exists</t>
        </is>
      </c>
      <c r="F40" s="6" t="inlineStr">
        <is>
          <t>1. Pet profile &gt; Vaccination History &gt; Add Record
2. Vaccine name, date given, next due date
3. Save</t>
        </is>
      </c>
      <c r="G40" s="6" t="inlineStr">
        <is>
          <t>Record listed in history</t>
        </is>
      </c>
      <c r="H40" s="6" t="n"/>
      <c r="I40" s="6" t="inlineStr">
        <is>
          <t>Not Executed</t>
        </is>
      </c>
      <c r="J40" s="6" t="n"/>
    </row>
    <row r="41" ht="28.8" customHeight="1">
      <c r="A41" s="15" t="inlineStr">
        <is>
          <t>TC-040</t>
        </is>
      </c>
      <c r="B41" s="16" t="inlineStr">
        <is>
          <t>Vaccination</t>
        </is>
      </c>
      <c r="C41" s="16" t="inlineStr">
        <is>
          <t>FR5.2</t>
        </is>
      </c>
      <c r="D41" s="6" t="inlineStr">
        <is>
          <t>Due-soon banner appears</t>
        </is>
      </c>
      <c r="E41" s="6" t="inlineStr">
        <is>
          <t>A record due within 14 days exists</t>
        </is>
      </c>
      <c r="F41" s="6" t="inlineStr">
        <is>
          <t>1. Return to the owner dashboard</t>
        </is>
      </c>
      <c r="G41" s="6" t="inlineStr">
        <is>
          <t>Banner names the vaccine, pet and correct day count</t>
        </is>
      </c>
      <c r="H41" s="6" t="n"/>
      <c r="I41" s="6" t="inlineStr">
        <is>
          <t>Not Executed</t>
        </is>
      </c>
      <c r="J41" s="6" t="n"/>
    </row>
    <row r="42" ht="28.8" customHeight="1">
      <c r="A42" s="15" t="inlineStr">
        <is>
          <t>TC-041</t>
        </is>
      </c>
      <c r="B42" s="16" t="inlineStr">
        <is>
          <t>Vaccination</t>
        </is>
      </c>
      <c r="C42" s="16" t="inlineStr">
        <is>
          <t>FR5.2</t>
        </is>
      </c>
      <c r="D42" s="6" t="inlineStr">
        <is>
          <t>Banner hidden when nothing is due</t>
        </is>
      </c>
      <c r="E42" s="6" t="inlineStr">
        <is>
          <t>No upcoming vaccination</t>
        </is>
      </c>
      <c r="F42" s="6" t="inlineStr">
        <is>
          <t>1. Delete or postpone the record
2. Reload the dashboard</t>
        </is>
      </c>
      <c r="G42" s="6" t="inlineStr">
        <is>
          <t>No vaccination banner is displayed</t>
        </is>
      </c>
      <c r="H42" s="6" t="n"/>
      <c r="I42" s="6" t="inlineStr">
        <is>
          <t>Not Executed</t>
        </is>
      </c>
      <c r="J42" s="6" t="n"/>
    </row>
    <row r="43" ht="28.8" customHeight="1">
      <c r="A43" s="15" t="inlineStr">
        <is>
          <t>TC-042</t>
        </is>
      </c>
      <c r="B43" s="16" t="inlineStr">
        <is>
          <t>Vaccination</t>
        </is>
      </c>
      <c r="C43" s="16" t="inlineStr">
        <is>
          <t>FR5.1</t>
        </is>
      </c>
      <c r="D43" s="6" t="inlineStr">
        <is>
          <t>Record survives a service restart</t>
        </is>
      </c>
      <c r="E43" s="6" t="inlineStr">
        <is>
          <t>A record exists</t>
        </is>
      </c>
      <c r="F43" s="6" t="inlineStr">
        <is>
          <t>1. Run: docker compose restart vaccination-service
2. Reload the pet profile</t>
        </is>
      </c>
      <c r="G43" s="6" t="inlineStr">
        <is>
          <t>Record still present</t>
        </is>
      </c>
      <c r="H43" s="6" t="n"/>
      <c r="I43" s="6" t="inlineStr">
        <is>
          <t>Not Executed</t>
        </is>
      </c>
      <c r="J43" s="6" t="n"/>
    </row>
    <row r="44">
      <c r="A44" s="15" t="inlineStr">
        <is>
          <t>TC-043</t>
        </is>
      </c>
      <c r="B44" s="16" t="inlineStr">
        <is>
          <t>Vaccination</t>
        </is>
      </c>
      <c r="C44" s="16" t="inlineStr">
        <is>
          <t>FR5.1</t>
        </is>
      </c>
      <c r="D44" s="6" t="inlineStr">
        <is>
          <t>Delete a vaccination record</t>
        </is>
      </c>
      <c r="E44" s="6" t="inlineStr">
        <is>
          <t>A record exists</t>
        </is>
      </c>
      <c r="F44" s="6" t="inlineStr">
        <is>
          <t>1. Delete the record</t>
        </is>
      </c>
      <c r="G44" s="6" t="inlineStr">
        <is>
          <t>Removed from history</t>
        </is>
      </c>
      <c r="H44" s="6" t="n"/>
      <c r="I44" s="6" t="inlineStr">
        <is>
          <t>Not Executed</t>
        </is>
      </c>
      <c r="J44" s="6" t="n"/>
    </row>
    <row r="45" ht="28.8" customHeight="1">
      <c r="A45" s="17" t="inlineStr">
        <is>
          <t>TC-044</t>
        </is>
      </c>
      <c r="B45" s="18" t="inlineStr">
        <is>
          <t>Prediction</t>
        </is>
      </c>
      <c r="C45" s="18" t="inlineStr">
        <is>
          <t>FR2.1</t>
        </is>
      </c>
      <c r="D45" s="6" t="inlineStr">
        <is>
          <t>Open the symptom reporting form</t>
        </is>
      </c>
      <c r="E45" s="6" t="inlineStr">
        <is>
          <t>A pet exists</t>
        </is>
      </c>
      <c r="F45" s="6" t="inlineStr">
        <is>
          <t>1. Pet profile &gt; Report Symptoms</t>
        </is>
      </c>
      <c r="G45" s="6" t="inlineStr">
        <is>
          <t>All six vitals plus symptom checklist and duration are shown</t>
        </is>
      </c>
      <c r="H45" s="6" t="n"/>
      <c r="I45" s="6" t="inlineStr">
        <is>
          <t>Not Executed</t>
        </is>
      </c>
      <c r="J45" s="6" t="n"/>
    </row>
    <row r="46">
      <c r="A46" s="17" t="inlineStr">
        <is>
          <t>TC-045</t>
        </is>
      </c>
      <c r="B46" s="18" t="inlineStr">
        <is>
          <t>Prediction</t>
        </is>
      </c>
      <c r="C46" s="18" t="inlineStr">
        <is>
          <t>FR2.1</t>
        </is>
      </c>
      <c r="D46" s="6" t="inlineStr">
        <is>
          <t>All vital options selectable</t>
        </is>
      </c>
      <c r="E46" s="6" t="inlineStr">
        <is>
          <t>Form open</t>
        </is>
      </c>
      <c r="F46" s="6" t="inlineStr">
        <is>
          <t>1. Cycle each vital through every option</t>
        </is>
      </c>
      <c r="G46" s="6" t="inlineStr">
        <is>
          <t>Each selection registers without error</t>
        </is>
      </c>
      <c r="H46" s="6" t="n"/>
      <c r="I46" s="6" t="inlineStr">
        <is>
          <t>Not Executed</t>
        </is>
      </c>
      <c r="J46" s="6" t="n"/>
    </row>
    <row r="47" ht="28.8" customHeight="1">
      <c r="A47" s="17" t="inlineStr">
        <is>
          <t>TC-046</t>
        </is>
      </c>
      <c r="B47" s="18" t="inlineStr">
        <is>
          <t>Prediction</t>
        </is>
      </c>
      <c r="C47" s="18" t="inlineStr">
        <is>
          <t>FR3.1</t>
        </is>
      </c>
      <c r="D47" s="6" t="inlineStr">
        <is>
          <t>Submit a symptom report</t>
        </is>
      </c>
      <c r="E47" s="6" t="inlineStr">
        <is>
          <t>Form completed</t>
        </is>
      </c>
      <c r="F47" s="6" t="inlineStr">
        <is>
          <t>1. Set vitals, tick symptoms, set duration
2. Click Analyze</t>
        </is>
      </c>
      <c r="G47" s="6" t="inlineStr">
        <is>
          <t>Result page appears within a few seconds</t>
        </is>
      </c>
      <c r="H47" s="6" t="n"/>
      <c r="I47" s="6" t="inlineStr">
        <is>
          <t>Not Executed</t>
        </is>
      </c>
      <c r="J47" s="6" t="n"/>
    </row>
    <row r="48" ht="28.8" customHeight="1">
      <c r="A48" s="17" t="inlineStr">
        <is>
          <t>TC-047</t>
        </is>
      </c>
      <c r="B48" s="18" t="inlineStr">
        <is>
          <t>Prediction</t>
        </is>
      </c>
      <c r="C48" s="18" t="inlineStr">
        <is>
          <t>FR3.2</t>
        </is>
      </c>
      <c r="D48" s="6" t="inlineStr">
        <is>
          <t>Risk level and score displayed</t>
        </is>
      </c>
      <c r="E48" s="6" t="inlineStr">
        <is>
          <t>Prediction returned</t>
        </is>
      </c>
      <c r="F48" s="6" t="inlineStr">
        <is>
          <t>1. Inspect the result header</t>
        </is>
      </c>
      <c r="G48" s="6" t="inlineStr">
        <is>
          <t>Risk badge (Low/Moderate/High) plus a numeric score</t>
        </is>
      </c>
      <c r="H48" s="6" t="n"/>
      <c r="I48" s="6" t="inlineStr">
        <is>
          <t>Not Executed</t>
        </is>
      </c>
      <c r="J48" s="6" t="n"/>
    </row>
    <row r="49">
      <c r="A49" s="17" t="inlineStr">
        <is>
          <t>TC-048</t>
        </is>
      </c>
      <c r="B49" s="18" t="inlineStr">
        <is>
          <t>Prediction</t>
        </is>
      </c>
      <c r="C49" s="18" t="inlineStr">
        <is>
          <t>FR3.2</t>
        </is>
      </c>
      <c r="D49" s="6" t="inlineStr">
        <is>
          <t>Confidence displayed</t>
        </is>
      </c>
      <c r="E49" s="6" t="inlineStr">
        <is>
          <t>Prediction returned</t>
        </is>
      </c>
      <c r="F49" s="6" t="inlineStr">
        <is>
          <t>1. Inspect the model line under the result</t>
        </is>
      </c>
      <c r="G49" s="6" t="inlineStr">
        <is>
          <t>Model version and confidence percentage shown</t>
        </is>
      </c>
      <c r="H49" s="6" t="n"/>
      <c r="I49" s="6" t="inlineStr">
        <is>
          <t>Not Executed</t>
        </is>
      </c>
      <c r="J49" s="6" t="n"/>
    </row>
    <row r="50" ht="28.8" customHeight="1">
      <c r="A50" s="17" t="inlineStr">
        <is>
          <t>TC-049</t>
        </is>
      </c>
      <c r="B50" s="18" t="inlineStr">
        <is>
          <t>Prediction</t>
        </is>
      </c>
      <c r="C50" s="18" t="inlineStr">
        <is>
          <t>FR3.1</t>
        </is>
      </c>
      <c r="D50" s="6" t="inlineStr">
        <is>
          <t>Top predicted conditions listed</t>
        </is>
      </c>
      <c r="E50" s="6" t="inlineStr">
        <is>
          <t>Prediction returned</t>
        </is>
      </c>
      <c r="F50" s="6" t="inlineStr">
        <is>
          <t>1. Inspect the conditions list</t>
        </is>
      </c>
      <c r="G50" s="6" t="inlineStr">
        <is>
          <t>Up to 3 conditions, each with a probability, highest first</t>
        </is>
      </c>
      <c r="H50" s="6" t="n"/>
      <c r="I50" s="6" t="inlineStr">
        <is>
          <t>Not Executed</t>
        </is>
      </c>
      <c r="J50" s="6" t="n"/>
    </row>
    <row r="51">
      <c r="A51" s="17" t="inlineStr">
        <is>
          <t>TC-050</t>
        </is>
      </c>
      <c r="B51" s="18" t="inlineStr">
        <is>
          <t>Prediction</t>
        </is>
      </c>
      <c r="C51" s="18" t="inlineStr">
        <is>
          <t>NFR1</t>
        </is>
      </c>
      <c r="D51" s="6" t="inlineStr">
        <is>
          <t>Disclaimer present on every result</t>
        </is>
      </c>
      <c r="E51" s="6" t="inlineStr">
        <is>
          <t>Prediction returned</t>
        </is>
      </c>
      <c r="F51" s="6" t="inlineStr">
        <is>
          <t>1. Scroll the result page</t>
        </is>
      </c>
      <c r="G51" s="6" t="inlineStr">
        <is>
          <t>Decision-support disclaimer is visible</t>
        </is>
      </c>
      <c r="H51" s="6" t="n"/>
      <c r="I51" s="6" t="inlineStr">
        <is>
          <t>Not Executed</t>
        </is>
      </c>
      <c r="J51" s="6" t="n"/>
    </row>
    <row r="52" ht="57.6" customHeight="1">
      <c r="A52" s="17" t="inlineStr">
        <is>
          <t>TC-051</t>
        </is>
      </c>
      <c r="B52" s="18" t="inlineStr">
        <is>
          <t>Prediction</t>
        </is>
      </c>
      <c r="C52" s="18" t="inlineStr">
        <is>
          <t>FR3.1</t>
        </is>
      </c>
      <c r="D52" s="6" t="inlineStr">
        <is>
          <t>Diabetes-pattern case</t>
        </is>
      </c>
      <c r="E52" s="6" t="inlineStr">
        <is>
          <t>Form open</t>
        </is>
      </c>
      <c r="F52" s="6" t="inlineStr">
        <is>
          <t>1. Appetite normal, water INCREASED, urination INCREASED, activity lethargic, tick weight-loss, duration 14
2. Analyze</t>
        </is>
      </c>
      <c r="G52" s="6" t="inlineStr">
        <is>
          <t>Diabetes Mellitus ranked first</t>
        </is>
      </c>
      <c r="H52" s="6" t="n"/>
      <c r="I52" s="6" t="inlineStr">
        <is>
          <t>Not Executed</t>
        </is>
      </c>
      <c r="J52" s="6" t="n"/>
    </row>
    <row r="53" ht="43.2" customHeight="1">
      <c r="A53" s="17" t="inlineStr">
        <is>
          <t>TC-052</t>
        </is>
      </c>
      <c r="B53" s="18" t="inlineStr">
        <is>
          <t>Prediction</t>
        </is>
      </c>
      <c r="C53" s="18" t="inlineStr">
        <is>
          <t>FR3.1</t>
        </is>
      </c>
      <c r="D53" s="6" t="inlineStr">
        <is>
          <t>Digestive-pattern case</t>
        </is>
      </c>
      <c r="E53" s="6" t="inlineStr">
        <is>
          <t>Form open</t>
        </is>
      </c>
      <c r="F53" s="6" t="inlineStr">
        <is>
          <t>1. Appetite none, vomiting persistent, diarrhoea moderate, activity lethargic, duration 4
2. Analyze</t>
        </is>
      </c>
      <c r="G53" s="6" t="inlineStr">
        <is>
          <t>A digestive/pancreatic condition ranked first; risk at least medium</t>
        </is>
      </c>
      <c r="H53" s="6" t="n"/>
      <c r="I53" s="6" t="inlineStr">
        <is>
          <t>Not Executed</t>
        </is>
      </c>
      <c r="J53" s="6" t="n"/>
    </row>
    <row r="54" ht="43.2" customHeight="1">
      <c r="A54" s="17" t="inlineStr">
        <is>
          <t>TC-053</t>
        </is>
      </c>
      <c r="B54" s="18" t="inlineStr">
        <is>
          <t>Prediction</t>
        </is>
      </c>
      <c r="C54" s="18" t="inlineStr">
        <is>
          <t>FR2.2</t>
        </is>
      </c>
      <c r="D54" s="6" t="inlineStr">
        <is>
          <t>Vitals-only submission (no symptoms ticked)</t>
        </is>
      </c>
      <c r="E54" s="6" t="inlineStr">
        <is>
          <t>Form open</t>
        </is>
      </c>
      <c r="F54" s="6" t="inlineStr">
        <is>
          <t>1. Set vitals only, tick NO symptoms
2. Analyze</t>
        </is>
      </c>
      <c r="G54" s="6" t="inlineStr">
        <is>
          <t>Prediction returned; Analyzed Symptoms shows an empty-state message and does NOT invent symptoms</t>
        </is>
      </c>
      <c r="H54" s="6" t="n"/>
      <c r="I54" s="6" t="inlineStr">
        <is>
          <t>Not Executed</t>
        </is>
      </c>
      <c r="J54" s="6" t="n"/>
    </row>
    <row r="55">
      <c r="A55" s="17" t="inlineStr">
        <is>
          <t>TC-054</t>
        </is>
      </c>
      <c r="B55" s="18" t="inlineStr">
        <is>
          <t>Prediction</t>
        </is>
      </c>
      <c r="C55" s="18" t="inlineStr">
        <is>
          <t>FR3</t>
        </is>
      </c>
      <c r="D55" s="6" t="inlineStr">
        <is>
          <t>Prediction saved to history</t>
        </is>
      </c>
      <c r="E55" s="6" t="inlineStr">
        <is>
          <t>A prediction was made</t>
        </is>
      </c>
      <c r="F55" s="6" t="inlineStr">
        <is>
          <t>1. Go to Risk Assessments / history</t>
        </is>
      </c>
      <c r="G55" s="6" t="inlineStr">
        <is>
          <t>The new assessment is listed with date and risk level</t>
        </is>
      </c>
      <c r="H55" s="6" t="n"/>
      <c r="I55" s="6" t="inlineStr">
        <is>
          <t>Not Executed</t>
        </is>
      </c>
      <c r="J55" s="6" t="n"/>
    </row>
    <row r="56">
      <c r="A56" s="17" t="inlineStr">
        <is>
          <t>TC-055</t>
        </is>
      </c>
      <c r="B56" s="18" t="inlineStr">
        <is>
          <t>Prediction</t>
        </is>
      </c>
      <c r="C56" s="18" t="inlineStr">
        <is>
          <t>FR3</t>
        </is>
      </c>
      <c r="D56" s="6" t="inlineStr">
        <is>
          <t>Reopen a saved assessment</t>
        </is>
      </c>
      <c r="E56" s="6" t="inlineStr">
        <is>
          <t>History has entries</t>
        </is>
      </c>
      <c r="F56" s="6" t="inlineStr">
        <is>
          <t>1. Open a previous assessment</t>
        </is>
      </c>
      <c r="G56" s="6" t="inlineStr">
        <is>
          <t>Full result reloads including explanation sections</t>
        </is>
      </c>
      <c r="H56" s="6" t="n"/>
      <c r="I56" s="6" t="inlineStr">
        <is>
          <t>Not Executed</t>
        </is>
      </c>
      <c r="J56" s="6" t="n"/>
    </row>
    <row r="57" ht="28.8" customHeight="1">
      <c r="A57" s="19" t="inlineStr">
        <is>
          <t>TC-056</t>
        </is>
      </c>
      <c r="B57" s="20" t="inlineStr">
        <is>
          <t>Explainability</t>
        </is>
      </c>
      <c r="C57" s="20" t="inlineStr">
        <is>
          <t>RQ4</t>
        </is>
      </c>
      <c r="D57" s="6" t="inlineStr">
        <is>
          <t>Influencing factors are readable</t>
        </is>
      </c>
      <c r="E57" s="6" t="inlineStr">
        <is>
          <t>A prediction is open</t>
        </is>
      </c>
      <c r="F57" s="6" t="inlineStr">
        <is>
          <t>1. Find 'What led to this result'</t>
        </is>
      </c>
      <c r="G57" s="6" t="inlineStr">
        <is>
          <t>Rows read as form answers e.g. 'Water intake: increased', NOT fragments like 'less' or 'has'</t>
        </is>
      </c>
      <c r="H57" s="6" t="n"/>
      <c r="I57" s="6" t="inlineStr">
        <is>
          <t>Not Executed</t>
        </is>
      </c>
      <c r="J57" s="6" t="n"/>
    </row>
    <row r="58">
      <c r="A58" s="19" t="inlineStr">
        <is>
          <t>TC-057</t>
        </is>
      </c>
      <c r="B58" s="20" t="inlineStr">
        <is>
          <t>Explainability</t>
        </is>
      </c>
      <c r="C58" s="20" t="inlineStr">
        <is>
          <t>RQ4</t>
        </is>
      </c>
      <c r="D58" s="6" t="inlineStr">
        <is>
          <t>Biggest reason is labelled</t>
        </is>
      </c>
      <c r="E58" s="6" t="inlineStr">
        <is>
          <t>A prediction is open</t>
        </is>
      </c>
      <c r="F58" s="6" t="inlineStr">
        <is>
          <t>1. Inspect the first factor row</t>
        </is>
      </c>
      <c r="G58" s="6" t="inlineStr">
        <is>
          <t>Tagged 'Biggest reason'; its bar is the longest</t>
        </is>
      </c>
      <c r="H58" s="6" t="n"/>
      <c r="I58" s="6" t="inlineStr">
        <is>
          <t>Not Executed</t>
        </is>
      </c>
      <c r="J58" s="6" t="n"/>
    </row>
    <row r="59" ht="28.8" customHeight="1">
      <c r="A59" s="19" t="inlineStr">
        <is>
          <t>TC-058</t>
        </is>
      </c>
      <c r="B59" s="20" t="inlineStr">
        <is>
          <t>Explainability</t>
        </is>
      </c>
      <c r="C59" s="20" t="inlineStr">
        <is>
          <t>RQ4</t>
        </is>
      </c>
      <c r="D59" s="6" t="inlineStr">
        <is>
          <t>No duplicate factors from one answer</t>
        </is>
      </c>
      <c r="E59" s="6" t="inlineStr">
        <is>
          <t>A prediction is open</t>
        </is>
      </c>
      <c r="F59" s="6" t="inlineStr">
        <is>
          <t>1. Check all factor rows</t>
        </is>
      </c>
      <c r="G59" s="6" t="inlineStr">
        <is>
          <t>Each row is a distinct form field; the same answer is not repeated</t>
        </is>
      </c>
      <c r="H59" s="6" t="n"/>
      <c r="I59" s="6" t="inlineStr">
        <is>
          <t>Not Executed</t>
        </is>
      </c>
      <c r="J59" s="6" t="n"/>
    </row>
    <row r="60">
      <c r="A60" s="19" t="inlineStr">
        <is>
          <t>TC-059</t>
        </is>
      </c>
      <c r="B60" s="20" t="inlineStr">
        <is>
          <t>Explainability</t>
        </is>
      </c>
      <c r="C60" s="20" t="inlineStr">
        <is>
          <t>FR4.7</t>
        </is>
      </c>
      <c r="D60" s="6" t="inlineStr">
        <is>
          <t>Knowledge-base section is collapsed</t>
        </is>
      </c>
      <c r="E60" s="6" t="inlineStr">
        <is>
          <t>A prediction is open</t>
        </is>
      </c>
      <c r="F60" s="6" t="inlineStr">
        <is>
          <t>1. Locate 'What these symptoms can point to'</t>
        </is>
      </c>
      <c r="G60" s="6" t="inlineStr">
        <is>
          <t>Collapsed by default; expands on click</t>
        </is>
      </c>
      <c r="H60" s="6" t="n"/>
      <c r="I60" s="6" t="inlineStr">
        <is>
          <t>Not Executed</t>
        </is>
      </c>
      <c r="J60" s="6" t="n"/>
    </row>
    <row r="61" ht="28.8" customHeight="1">
      <c r="A61" s="19" t="inlineStr">
        <is>
          <t>TC-060</t>
        </is>
      </c>
      <c r="B61" s="20" t="inlineStr">
        <is>
          <t>Explainability</t>
        </is>
      </c>
      <c r="C61" s="20" t="inlineStr">
        <is>
          <t>FR4.7</t>
        </is>
      </c>
      <c r="D61" s="6" t="inlineStr">
        <is>
          <t>Ontology links use words not percentages</t>
        </is>
      </c>
      <c r="E61" s="6" t="inlineStr">
        <is>
          <t>Section expanded</t>
        </is>
      </c>
      <c r="F61" s="6" t="inlineStr">
        <is>
          <t>1. Inspect the entries</t>
        </is>
      </c>
      <c r="G61" s="6" t="inlineStr">
        <is>
          <t>Reads 'X can be a sign of Y' with Common/Sometimes/Occasionally labels</t>
        </is>
      </c>
      <c r="H61" s="6" t="n"/>
      <c r="I61" s="6" t="inlineStr">
        <is>
          <t>Not Executed</t>
        </is>
      </c>
      <c r="J61" s="6" t="n"/>
    </row>
    <row r="62" ht="28.8" customHeight="1">
      <c r="A62" s="19" t="inlineStr">
        <is>
          <t>TC-061</t>
        </is>
      </c>
      <c r="B62" s="20" t="inlineStr">
        <is>
          <t>Explainability</t>
        </is>
      </c>
      <c r="C62" s="20" t="inlineStr">
        <is>
          <t>RQ4</t>
        </is>
      </c>
      <c r="D62" s="6" t="inlineStr">
        <is>
          <t>Historic prediction explains itself</t>
        </is>
      </c>
      <c r="E62" s="6" t="inlineStr">
        <is>
          <t>An older assessment exists</t>
        </is>
      </c>
      <c r="F62" s="6" t="inlineStr">
        <is>
          <t>1. Open an assessment made before the attribution fix</t>
        </is>
      </c>
      <c r="G62" s="6" t="inlineStr">
        <is>
          <t>Factors show form fields, not raw n-grams</t>
        </is>
      </c>
      <c r="H62" s="6" t="n"/>
      <c r="I62" s="6" t="inlineStr">
        <is>
          <t>Not Executed</t>
        </is>
      </c>
      <c r="J62" s="6" t="n"/>
    </row>
    <row r="63" ht="28.8" customHeight="1">
      <c r="A63" s="4" t="inlineStr">
        <is>
          <t>TC-062</t>
        </is>
      </c>
      <c r="B63" s="5" t="inlineStr">
        <is>
          <t>Agentic AI</t>
        </is>
      </c>
      <c r="C63" s="5" t="inlineStr">
        <is>
          <t>FR4.1</t>
        </is>
      </c>
      <c r="D63" s="6" t="inlineStr">
        <is>
          <t>Agent guidance section appears</t>
        </is>
      </c>
      <c r="E63" s="6" t="inlineStr">
        <is>
          <t>A prediction is open</t>
        </is>
      </c>
      <c r="F63" s="6" t="inlineStr">
        <is>
          <t>1. Scroll to AI Agent Guidance</t>
        </is>
      </c>
      <c r="G63" s="6" t="inlineStr">
        <is>
          <t>Urgency, recommendations and clinic suggestions are shown</t>
        </is>
      </c>
      <c r="H63" s="6" t="n"/>
      <c r="I63" s="6" t="inlineStr">
        <is>
          <t>Not Executed</t>
        </is>
      </c>
      <c r="J63" s="6" t="n"/>
    </row>
    <row r="64">
      <c r="A64" s="4" t="inlineStr">
        <is>
          <t>TC-063</t>
        </is>
      </c>
      <c r="B64" s="5" t="inlineStr">
        <is>
          <t>Agentic AI</t>
        </is>
      </c>
      <c r="C64" s="5" t="inlineStr">
        <is>
          <t>FR4.2</t>
        </is>
      </c>
      <c r="D64" s="6" t="inlineStr">
        <is>
          <t>Urgency window stated</t>
        </is>
      </c>
      <c r="E64" s="6" t="inlineStr">
        <is>
          <t>Guidance shown</t>
        </is>
      </c>
      <c r="F64" s="6" t="inlineStr">
        <is>
          <t>1. Read the urgency line</t>
        </is>
      </c>
      <c r="G64" s="6" t="inlineStr">
        <is>
          <t>A concrete timeframe e.g. 'within 24 hours'</t>
        </is>
      </c>
      <c r="H64" s="6" t="n"/>
      <c r="I64" s="6" t="inlineStr">
        <is>
          <t>Not Executed</t>
        </is>
      </c>
      <c r="J64" s="6" t="n"/>
    </row>
    <row r="65">
      <c r="A65" s="4" t="inlineStr">
        <is>
          <t>TC-064</t>
        </is>
      </c>
      <c r="B65" s="5" t="inlineStr">
        <is>
          <t>Agentic AI</t>
        </is>
      </c>
      <c r="C65" s="5" t="inlineStr">
        <is>
          <t>FR4.6</t>
        </is>
      </c>
      <c r="D65" s="6" t="inlineStr">
        <is>
          <t>Guidance is personalised</t>
        </is>
      </c>
      <c r="E65" s="6" t="inlineStr">
        <is>
          <t>Guidance shown</t>
        </is>
      </c>
      <c r="F65" s="6" t="inlineStr">
        <is>
          <t>1. Compare a high-risk and a low-risk case</t>
        </is>
      </c>
      <c r="G65" s="6" t="inlineStr">
        <is>
          <t>Wording and urgency differ appropriately</t>
        </is>
      </c>
      <c r="H65" s="6" t="n"/>
      <c r="I65" s="6" t="inlineStr">
        <is>
          <t>Not Executed</t>
        </is>
      </c>
      <c r="J65" s="6" t="n"/>
    </row>
    <row r="66" ht="28.8" customHeight="1">
      <c r="A66" s="4" t="inlineStr">
        <is>
          <t>TC-065</t>
        </is>
      </c>
      <c r="B66" s="5" t="inlineStr">
        <is>
          <t>Agentic AI</t>
        </is>
      </c>
      <c r="C66" s="5" t="inlineStr">
        <is>
          <t>O4</t>
        </is>
      </c>
      <c r="D66" s="6" t="inlineStr">
        <is>
          <t>Recommended clinic identified</t>
        </is>
      </c>
      <c r="E66" s="6" t="inlineStr">
        <is>
          <t>Clinics exist with slots</t>
        </is>
      </c>
      <c r="F66" s="6" t="inlineStr">
        <is>
          <t>1. Inspect clinic suggestions</t>
        </is>
      </c>
      <c r="G66" s="6" t="inlineStr">
        <is>
          <t>One clinic marked as recommended, with a named surgeon and next free slot</t>
        </is>
      </c>
      <c r="H66" s="6" t="n"/>
      <c r="I66" s="6" t="inlineStr">
        <is>
          <t>Not Executed</t>
        </is>
      </c>
      <c r="J66" s="6" t="n"/>
    </row>
    <row r="67">
      <c r="A67" s="4" t="inlineStr">
        <is>
          <t>TC-066</t>
        </is>
      </c>
      <c r="B67" s="5" t="inlineStr">
        <is>
          <t>Agentic AI</t>
        </is>
      </c>
      <c r="C67" s="5" t="inlineStr">
        <is>
          <t>FR4.1</t>
        </is>
      </c>
      <c r="D67" s="6" t="inlineStr">
        <is>
          <t>Agent trace visible</t>
        </is>
      </c>
      <c r="E67" s="6" t="inlineStr">
        <is>
          <t>Guidance shown</t>
        </is>
      </c>
      <c r="F67" s="6" t="inlineStr">
        <is>
          <t>1. Expand 'How the AI decided'</t>
        </is>
      </c>
      <c r="G67" s="6" t="inlineStr">
        <is>
          <t>All pipeline stages listed in order</t>
        </is>
      </c>
      <c r="H67" s="6" t="n"/>
      <c r="I67" s="6" t="inlineStr">
        <is>
          <t>Not Executed</t>
        </is>
      </c>
      <c r="J67" s="6" t="n"/>
    </row>
    <row r="68" ht="43.2" customHeight="1">
      <c r="A68" s="4" t="inlineStr">
        <is>
          <t>TC-067</t>
        </is>
      </c>
      <c r="B68" s="5" t="inlineStr">
        <is>
          <t>Agentic AI</t>
        </is>
      </c>
      <c r="C68" s="5" t="inlineStr">
        <is>
          <t>FR4</t>
        </is>
      </c>
      <c r="D68" s="6" t="inlineStr">
        <is>
          <t>Graceful degradation</t>
        </is>
      </c>
      <c r="E68" s="6" t="inlineStr">
        <is>
          <t>Stack running</t>
        </is>
      </c>
      <c r="F68" s="6" t="inlineStr">
        <is>
          <t>1. Set GOOGLE_API_KEY empty in .env
2. docker compose up -d agent-service
3. Re-run an assessment</t>
        </is>
      </c>
      <c r="G68" s="6" t="inlineStr">
        <is>
          <t>Guidance still returned; 'Rule-based mode' badge shown; no crash</t>
        </is>
      </c>
      <c r="H68" s="6" t="n"/>
      <c r="I68" s="6" t="inlineStr">
        <is>
          <t>Not Executed</t>
        </is>
      </c>
      <c r="J68" s="6" t="n"/>
    </row>
    <row r="69" ht="43.2" customHeight="1">
      <c r="A69" s="4" t="inlineStr">
        <is>
          <t>TC-068</t>
        </is>
      </c>
      <c r="B69" s="5" t="inlineStr">
        <is>
          <t>Agentic AI</t>
        </is>
      </c>
      <c r="C69" s="5" t="inlineStr">
        <is>
          <t>FR4</t>
        </is>
      </c>
      <c r="D69" s="6" t="inlineStr">
        <is>
          <t>Restore live LLM mode</t>
        </is>
      </c>
      <c r="E69" s="6" t="inlineStr">
        <is>
          <t>API key restored</t>
        </is>
      </c>
      <c r="F69" s="6" t="inlineStr">
        <is>
          <t>1. Restore GOOGLE_API_KEY
2. Restart agent-service
3. Re-run</t>
        </is>
      </c>
      <c r="G69" s="6" t="inlineStr">
        <is>
          <t>Badge disappears; degraded=false</t>
        </is>
      </c>
      <c r="H69" s="6" t="n"/>
      <c r="I69" s="6" t="inlineStr">
        <is>
          <t>Not Executed</t>
        </is>
      </c>
      <c r="J69" s="6" t="n"/>
    </row>
    <row r="70" ht="28.8" customHeight="1">
      <c r="A70" s="4" t="inlineStr">
        <is>
          <t>TC-069</t>
        </is>
      </c>
      <c r="B70" s="5" t="inlineStr">
        <is>
          <t>Agentic AI</t>
        </is>
      </c>
      <c r="C70" s="5" t="inlineStr">
        <is>
          <t>FR4</t>
        </is>
      </c>
      <c r="D70" s="6" t="inlineStr">
        <is>
          <t>AI chat assistant responds</t>
        </is>
      </c>
      <c r="E70" s="6" t="inlineStr">
        <is>
          <t>Logged in as owner</t>
        </is>
      </c>
      <c r="F70" s="6" t="inlineStr">
        <is>
          <t>1. Open AI Chat
2. Ask 'What vaccines does a puppy need?'</t>
        </is>
      </c>
      <c r="G70" s="6" t="inlineStr">
        <is>
          <t>Relevant reply; routes user toward the structured assessment</t>
        </is>
      </c>
      <c r="H70" s="6" t="n"/>
      <c r="I70" s="6" t="inlineStr">
        <is>
          <t>Not Executed</t>
        </is>
      </c>
      <c r="J70" s="6" t="n"/>
    </row>
    <row r="71" ht="28.8" customHeight="1">
      <c r="A71" s="7" t="inlineStr">
        <is>
          <t>TC-070</t>
        </is>
      </c>
      <c r="B71" s="8" t="inlineStr">
        <is>
          <t>Clinics &amp; Booking</t>
        </is>
      </c>
      <c r="C71" s="8" t="inlineStr">
        <is>
          <t>FR6.1</t>
        </is>
      </c>
      <c r="D71" s="6" t="inlineStr">
        <is>
          <t>Clinic map loads</t>
        </is>
      </c>
      <c r="E71" s="6" t="inlineStr">
        <is>
          <t>Logged in as owner</t>
        </is>
      </c>
      <c r="F71" s="6" t="inlineStr">
        <is>
          <t>1. Open the Clinics tab
2. Allow location access</t>
        </is>
      </c>
      <c r="G71" s="6" t="inlineStr">
        <is>
          <t>Map renders with clinic markers</t>
        </is>
      </c>
      <c r="H71" s="6" t="n"/>
      <c r="I71" s="6" t="inlineStr">
        <is>
          <t>Not Executed</t>
        </is>
      </c>
      <c r="J71" s="6" t="n"/>
    </row>
    <row r="72">
      <c r="A72" s="7" t="inlineStr">
        <is>
          <t>TC-071</t>
        </is>
      </c>
      <c r="B72" s="8" t="inlineStr">
        <is>
          <t>Clinics &amp; Booking</t>
        </is>
      </c>
      <c r="C72" s="8" t="inlineStr">
        <is>
          <t>FR6.1</t>
        </is>
      </c>
      <c r="D72" s="6" t="inlineStr">
        <is>
          <t>Nearby clinics sorted by distance</t>
        </is>
      </c>
      <c r="E72" s="6" t="inlineStr">
        <is>
          <t>Location allowed</t>
        </is>
      </c>
      <c r="F72" s="6" t="inlineStr">
        <is>
          <t>1. Inspect the clinic list</t>
        </is>
      </c>
      <c r="G72" s="6" t="inlineStr">
        <is>
          <t>Each shows a distance; ordered nearest first</t>
        </is>
      </c>
      <c r="H72" s="6" t="n"/>
      <c r="I72" s="6" t="inlineStr">
        <is>
          <t>Not Executed</t>
        </is>
      </c>
      <c r="J72" s="6" t="n"/>
    </row>
    <row r="73" ht="28.8" customHeight="1">
      <c r="A73" s="7" t="inlineStr">
        <is>
          <t>TC-072</t>
        </is>
      </c>
      <c r="B73" s="8" t="inlineStr">
        <is>
          <t>Clinics &amp; Booking</t>
        </is>
      </c>
      <c r="C73" s="8" t="inlineStr">
        <is>
          <t>FR6.1</t>
        </is>
      </c>
      <c r="D73" s="6" t="inlineStr">
        <is>
          <t>Real-world clinics discovered</t>
        </is>
      </c>
      <c r="E73" s="6" t="inlineStr">
        <is>
          <t>Location allowed</t>
        </is>
      </c>
      <c r="F73" s="6" t="inlineStr">
        <is>
          <t>1. Inspect the list for external results</t>
        </is>
      </c>
      <c r="G73" s="6" t="inlineStr">
        <is>
          <t>OpenStreetMap veterinary results appear even with no registered clinics</t>
        </is>
      </c>
      <c r="H73" s="6" t="n"/>
      <c r="I73" s="6" t="inlineStr">
        <is>
          <t>Not Executed</t>
        </is>
      </c>
      <c r="J73" s="6" t="n"/>
    </row>
    <row r="74">
      <c r="A74" s="7" t="inlineStr">
        <is>
          <t>TC-073</t>
        </is>
      </c>
      <c r="B74" s="8" t="inlineStr">
        <is>
          <t>Clinics &amp; Booking</t>
        </is>
      </c>
      <c r="C74" s="8" t="inlineStr">
        <is>
          <t>FR6.2</t>
        </is>
      </c>
      <c r="D74" s="6" t="inlineStr">
        <is>
          <t>Clinic detail shows surgeons</t>
        </is>
      </c>
      <c r="E74" s="6" t="inlineStr">
        <is>
          <t>A registered clinic exists</t>
        </is>
      </c>
      <c r="F74" s="6" t="inlineStr">
        <is>
          <t>1. Open a registered clinic</t>
        </is>
      </c>
      <c r="G74" s="6" t="inlineStr">
        <is>
          <t>Surgeons listed with specialisations</t>
        </is>
      </c>
      <c r="H74" s="6" t="n"/>
      <c r="I74" s="6" t="inlineStr">
        <is>
          <t>Not Executed</t>
        </is>
      </c>
      <c r="J74" s="6" t="n"/>
    </row>
    <row r="75">
      <c r="A75" s="7" t="inlineStr">
        <is>
          <t>TC-074</t>
        </is>
      </c>
      <c r="B75" s="8" t="inlineStr">
        <is>
          <t>Clinics &amp; Booking</t>
        </is>
      </c>
      <c r="C75" s="8" t="inlineStr">
        <is>
          <t>FR6.3</t>
        </is>
      </c>
      <c r="D75" s="6" t="inlineStr">
        <is>
          <t>Available slots shown</t>
        </is>
      </c>
      <c r="E75" s="6" t="inlineStr">
        <is>
          <t>Surgeon has slots</t>
        </is>
      </c>
      <c r="F75" s="6" t="inlineStr">
        <is>
          <t>1. Open the clinic detail</t>
        </is>
      </c>
      <c r="G75" s="6" t="inlineStr">
        <is>
          <t>Free slots listed; booked ones marked</t>
        </is>
      </c>
      <c r="H75" s="6" t="n"/>
      <c r="I75" s="6" t="inlineStr">
        <is>
          <t>Not Executed</t>
        </is>
      </c>
      <c r="J75" s="6" t="n"/>
    </row>
    <row r="76" ht="28.8" customHeight="1">
      <c r="A76" s="7" t="inlineStr">
        <is>
          <t>TC-075</t>
        </is>
      </c>
      <c r="B76" s="8" t="inlineStr">
        <is>
          <t>Clinics &amp; Booking</t>
        </is>
      </c>
      <c r="C76" s="8" t="inlineStr">
        <is>
          <t>FR6.4</t>
        </is>
      </c>
      <c r="D76" s="6" t="inlineStr">
        <is>
          <t>Book an appointment</t>
        </is>
      </c>
      <c r="E76" s="6" t="inlineStr">
        <is>
          <t>A free slot exists</t>
        </is>
      </c>
      <c r="F76" s="6" t="inlineStr">
        <is>
          <t>1. Select pet and slot
2. Confirm booking</t>
        </is>
      </c>
      <c r="G76" s="6" t="inlineStr">
        <is>
          <t>Appointment created and confirmed on screen</t>
        </is>
      </c>
      <c r="H76" s="6" t="n"/>
      <c r="I76" s="6" t="inlineStr">
        <is>
          <t>Not Executed</t>
        </is>
      </c>
      <c r="J76" s="6" t="n"/>
    </row>
    <row r="77">
      <c r="A77" s="7" t="inlineStr">
        <is>
          <t>TC-076</t>
        </is>
      </c>
      <c r="B77" s="8" t="inlineStr">
        <is>
          <t>Clinics &amp; Booking</t>
        </is>
      </c>
      <c r="C77" s="8" t="inlineStr">
        <is>
          <t>FR6.4</t>
        </is>
      </c>
      <c r="D77" s="6" t="inlineStr">
        <is>
          <t>Prevent double booking</t>
        </is>
      </c>
      <c r="E77" s="6" t="inlineStr">
        <is>
          <t>A slot is already booked</t>
        </is>
      </c>
      <c r="F77" s="6" t="inlineStr">
        <is>
          <t>1. Attempt to book the same slot again</t>
        </is>
      </c>
      <c r="G77" s="6" t="inlineStr">
        <is>
          <t>Rejected with a slot-unavailable message</t>
        </is>
      </c>
      <c r="H77" s="6" t="n"/>
      <c r="I77" s="6" t="inlineStr">
        <is>
          <t>Not Executed</t>
        </is>
      </c>
      <c r="J77" s="6" t="n"/>
    </row>
    <row r="78">
      <c r="A78" s="7" t="inlineStr">
        <is>
          <t>TC-077</t>
        </is>
      </c>
      <c r="B78" s="8" t="inlineStr">
        <is>
          <t>Clinics &amp; Booking</t>
        </is>
      </c>
      <c r="C78" s="8" t="inlineStr">
        <is>
          <t>FR6.4</t>
        </is>
      </c>
      <c r="D78" s="6" t="inlineStr">
        <is>
          <t>Appointment listed for the owner</t>
        </is>
      </c>
      <c r="E78" s="6" t="inlineStr">
        <is>
          <t>Booking made</t>
        </is>
      </c>
      <c r="F78" s="6" t="inlineStr">
        <is>
          <t>1. Open the appointments list</t>
        </is>
      </c>
      <c r="G78" s="6" t="inlineStr">
        <is>
          <t>Booking shown with clinic, surgeon, pet and time</t>
        </is>
      </c>
      <c r="H78" s="6" t="n"/>
      <c r="I78" s="6" t="inlineStr">
        <is>
          <t>Not Executed</t>
        </is>
      </c>
      <c r="J78" s="6" t="n"/>
    </row>
    <row r="79">
      <c r="A79" s="7" t="inlineStr">
        <is>
          <t>TC-078</t>
        </is>
      </c>
      <c r="B79" s="8" t="inlineStr">
        <is>
          <t>Clinics &amp; Booking</t>
        </is>
      </c>
      <c r="C79" s="8" t="inlineStr">
        <is>
          <t>FR6.4</t>
        </is>
      </c>
      <c r="D79" s="6" t="inlineStr">
        <is>
          <t>Cancel an appointment</t>
        </is>
      </c>
      <c r="E79" s="6" t="inlineStr">
        <is>
          <t>Booking exists</t>
        </is>
      </c>
      <c r="F79" s="6" t="inlineStr">
        <is>
          <t>1. Cancel the appointment</t>
        </is>
      </c>
      <c r="G79" s="6" t="inlineStr">
        <is>
          <t>Status becomes cancelled; the slot is released</t>
        </is>
      </c>
      <c r="H79" s="6" t="n"/>
      <c r="I79" s="6" t="inlineStr">
        <is>
          <t>Not Executed</t>
        </is>
      </c>
      <c r="J79" s="6" t="n"/>
    </row>
    <row r="80" ht="28.8" customHeight="1">
      <c r="A80" s="9" t="inlineStr">
        <is>
          <t>TC-079</t>
        </is>
      </c>
      <c r="B80" s="10" t="inlineStr">
        <is>
          <t>Access Control</t>
        </is>
      </c>
      <c r="C80" s="10" t="inlineStr">
        <is>
          <t>RQ5</t>
        </is>
      </c>
      <c r="D80" s="6" t="inlineStr">
        <is>
          <t>Vet sees no patients without a relationship</t>
        </is>
      </c>
      <c r="E80" s="6" t="inlineStr">
        <is>
          <t>Vet account exists; no bookings or shares</t>
        </is>
      </c>
      <c r="F80" s="6" t="inlineStr">
        <is>
          <t>1. Log in as the vet
2. Open Patients</t>
        </is>
      </c>
      <c r="G80" s="6" t="inlineStr">
        <is>
          <t>Zero patients listed</t>
        </is>
      </c>
      <c r="H80" s="6" t="n"/>
      <c r="I80" s="6" t="inlineStr">
        <is>
          <t>Not Executed</t>
        </is>
      </c>
      <c r="J80" s="6" t="n"/>
    </row>
    <row r="81">
      <c r="A81" s="9" t="inlineStr">
        <is>
          <t>TC-080</t>
        </is>
      </c>
      <c r="B81" s="10" t="inlineStr">
        <is>
          <t>Access Control</t>
        </is>
      </c>
      <c r="C81" s="10" t="inlineStr">
        <is>
          <t>RQ5</t>
        </is>
      </c>
      <c r="D81" s="6" t="inlineStr">
        <is>
          <t>Vet blocked from direct pet URL</t>
        </is>
      </c>
      <c r="E81" s="6" t="inlineStr">
        <is>
          <t>No grant exists</t>
        </is>
      </c>
      <c r="F81" s="6" t="inlineStr">
        <is>
          <t>1. As the vet, open a URL containing the pet id</t>
        </is>
      </c>
      <c r="G81" s="6" t="inlineStr">
        <is>
          <t>Access denied; pet not shown</t>
        </is>
      </c>
      <c r="H81" s="6" t="n"/>
      <c r="I81" s="6" t="inlineStr">
        <is>
          <t>Not Executed</t>
        </is>
      </c>
      <c r="J81" s="6" t="n"/>
    </row>
    <row r="82">
      <c r="A82" s="9" t="inlineStr">
        <is>
          <t>TC-081</t>
        </is>
      </c>
      <c r="B82" s="10" t="inlineStr">
        <is>
          <t>Access Control</t>
        </is>
      </c>
      <c r="C82" s="10" t="inlineStr">
        <is>
          <t>RQ5</t>
        </is>
      </c>
      <c r="D82" s="6" t="inlineStr">
        <is>
          <t>Vet blocked from assessments</t>
        </is>
      </c>
      <c r="E82" s="6" t="inlineStr">
        <is>
          <t>No grant exists</t>
        </is>
      </c>
      <c r="F82" s="6" t="inlineStr">
        <is>
          <t>1. As the vet, attempt to view the pet's assessments</t>
        </is>
      </c>
      <c r="G82" s="6" t="inlineStr">
        <is>
          <t>No records returned</t>
        </is>
      </c>
      <c r="H82" s="6" t="n"/>
      <c r="I82" s="6" t="inlineStr">
        <is>
          <t>Not Executed</t>
        </is>
      </c>
      <c r="J82" s="6" t="n"/>
    </row>
    <row r="83" ht="43.2" customHeight="1">
      <c r="A83" s="9" t="inlineStr">
        <is>
          <t>TC-082</t>
        </is>
      </c>
      <c r="B83" s="10" t="inlineStr">
        <is>
          <t>Access Control</t>
        </is>
      </c>
      <c r="C83" s="10" t="inlineStr">
        <is>
          <t>RQ5</t>
        </is>
      </c>
      <c r="D83" s="6" t="inlineStr">
        <is>
          <t>Booking grants access</t>
        </is>
      </c>
      <c r="E83" s="6" t="inlineStr">
        <is>
          <t>Surgeon linked to the vet; slot free</t>
        </is>
      </c>
      <c r="F83" s="6" t="inlineStr">
        <is>
          <t>1. As owner, book that surgeon's slot
2. Log in as the vet
3. Open Patients</t>
        </is>
      </c>
      <c r="G83" s="6" t="inlineStr">
        <is>
          <t>The pet now appears, tagged as via appointment</t>
        </is>
      </c>
      <c r="H83" s="6" t="n"/>
      <c r="I83" s="6" t="inlineStr">
        <is>
          <t>Not Executed</t>
        </is>
      </c>
      <c r="J83" s="6" t="n"/>
    </row>
    <row r="84" ht="28.8" customHeight="1">
      <c r="A84" s="9" t="inlineStr">
        <is>
          <t>TC-083</t>
        </is>
      </c>
      <c r="B84" s="10" t="inlineStr">
        <is>
          <t>Access Control</t>
        </is>
      </c>
      <c r="C84" s="10" t="inlineStr">
        <is>
          <t>RQ5</t>
        </is>
      </c>
      <c r="D84" s="6" t="inlineStr">
        <is>
          <t>Owner shares records explicitly</t>
        </is>
      </c>
      <c r="E84" s="6" t="inlineStr">
        <is>
          <t>A vet exists in the directory</t>
        </is>
      </c>
      <c r="F84" s="6" t="inlineStr">
        <is>
          <t>1. Pet profile &gt; Who can see these records
2. Select the vet &gt; Share</t>
        </is>
      </c>
      <c r="G84" s="6" t="inlineStr">
        <is>
          <t>Vet listed as 'shared by you'</t>
        </is>
      </c>
      <c r="H84" s="6" t="n"/>
      <c r="I84" s="6" t="inlineStr">
        <is>
          <t>Not Executed</t>
        </is>
      </c>
      <c r="J84" s="6" t="n"/>
    </row>
    <row r="85">
      <c r="A85" s="9" t="inlineStr">
        <is>
          <t>TC-084</t>
        </is>
      </c>
      <c r="B85" s="10" t="inlineStr">
        <is>
          <t>Access Control</t>
        </is>
      </c>
      <c r="C85" s="10" t="inlineStr">
        <is>
          <t>RQ5</t>
        </is>
      </c>
      <c r="D85" s="6" t="inlineStr">
        <is>
          <t>Shared vet gains access</t>
        </is>
      </c>
      <c r="E85" s="6" t="inlineStr">
        <is>
          <t>Share created</t>
        </is>
      </c>
      <c r="F85" s="6" t="inlineStr">
        <is>
          <t>1. Log in as that vet</t>
        </is>
      </c>
      <c r="G85" s="6" t="inlineStr">
        <is>
          <t>The pet and its assessments are visible</t>
        </is>
      </c>
      <c r="H85" s="6" t="n"/>
      <c r="I85" s="6" t="inlineStr">
        <is>
          <t>Not Executed</t>
        </is>
      </c>
      <c r="J85" s="6" t="n"/>
    </row>
    <row r="86">
      <c r="A86" s="9" t="inlineStr">
        <is>
          <t>TC-085</t>
        </is>
      </c>
      <c r="B86" s="10" t="inlineStr">
        <is>
          <t>Access Control</t>
        </is>
      </c>
      <c r="C86" s="10" t="inlineStr">
        <is>
          <t>RQ5</t>
        </is>
      </c>
      <c r="D86" s="6" t="inlineStr">
        <is>
          <t>Owner revokes access</t>
        </is>
      </c>
      <c r="E86" s="6" t="inlineStr">
        <is>
          <t>A consent share exists</t>
        </is>
      </c>
      <c r="F86" s="6" t="inlineStr">
        <is>
          <t>1. Click Revoke</t>
        </is>
      </c>
      <c r="G86" s="6" t="inlineStr">
        <is>
          <t>Vet removed from the list</t>
        </is>
      </c>
      <c r="H86" s="6" t="n"/>
      <c r="I86" s="6" t="inlineStr">
        <is>
          <t>Not Executed</t>
        </is>
      </c>
      <c r="J86" s="6" t="n"/>
    </row>
    <row r="87">
      <c r="A87" s="9" t="inlineStr">
        <is>
          <t>TC-086</t>
        </is>
      </c>
      <c r="B87" s="10" t="inlineStr">
        <is>
          <t>Access Control</t>
        </is>
      </c>
      <c r="C87" s="10" t="inlineStr">
        <is>
          <t>RQ5</t>
        </is>
      </c>
      <c r="D87" s="6" t="inlineStr">
        <is>
          <t>Revocation takes effect immediately</t>
        </is>
      </c>
      <c r="E87" s="6" t="inlineStr">
        <is>
          <t>Access just revoked</t>
        </is>
      </c>
      <c r="F87" s="6" t="inlineStr">
        <is>
          <t>1. As that vet, reload Patients</t>
        </is>
      </c>
      <c r="G87" s="6" t="inlineStr">
        <is>
          <t>Pet no longer listed; direct URL denied</t>
        </is>
      </c>
      <c r="H87" s="6" t="n"/>
      <c r="I87" s="6" t="inlineStr">
        <is>
          <t>Not Executed</t>
        </is>
      </c>
      <c r="J87" s="6" t="n"/>
    </row>
    <row r="88">
      <c r="A88" s="9" t="inlineStr">
        <is>
          <t>TC-087</t>
        </is>
      </c>
      <c r="B88" s="10" t="inlineStr">
        <is>
          <t>Access Control</t>
        </is>
      </c>
      <c r="C88" s="10" t="inlineStr">
        <is>
          <t>RQ5</t>
        </is>
      </c>
      <c r="D88" s="6" t="inlineStr">
        <is>
          <t>A different vet remains blocked</t>
        </is>
      </c>
      <c r="E88" s="6" t="inlineStr">
        <is>
          <t>Pet shared with vet A only</t>
        </is>
      </c>
      <c r="F88" s="6" t="inlineStr">
        <is>
          <t>1. Log in as vet B</t>
        </is>
      </c>
      <c r="G88" s="6" t="inlineStr">
        <is>
          <t>Zero patients; direct access denied</t>
        </is>
      </c>
      <c r="H88" s="6" t="n"/>
      <c r="I88" s="6" t="inlineStr">
        <is>
          <t>Not Executed</t>
        </is>
      </c>
      <c r="J88" s="6" t="n"/>
    </row>
    <row r="89">
      <c r="A89" s="9" t="inlineStr">
        <is>
          <t>TC-088</t>
        </is>
      </c>
      <c r="B89" s="10" t="inlineStr">
        <is>
          <t>Access Control</t>
        </is>
      </c>
      <c r="C89" s="10" t="inlineStr">
        <is>
          <t>RQ5</t>
        </is>
      </c>
      <c r="D89" s="6" t="inlineStr">
        <is>
          <t>Diagnosis requires a relationship</t>
        </is>
      </c>
      <c r="E89" s="6" t="inlineStr">
        <is>
          <t>No grant for this vet</t>
        </is>
      </c>
      <c r="F89" s="6" t="inlineStr">
        <is>
          <t>1. As that vet, attempt to record a diagnosis</t>
        </is>
      </c>
      <c r="G89" s="6" t="inlineStr">
        <is>
          <t>Rejected</t>
        </is>
      </c>
      <c r="H89" s="6" t="n"/>
      <c r="I89" s="6" t="inlineStr">
        <is>
          <t>Not Executed</t>
        </is>
      </c>
      <c r="J89" s="6" t="n"/>
    </row>
    <row r="90">
      <c r="A90" s="9" t="inlineStr">
        <is>
          <t>TC-089</t>
        </is>
      </c>
      <c r="B90" s="10" t="inlineStr">
        <is>
          <t>Access Control</t>
        </is>
      </c>
      <c r="C90" s="10" t="inlineStr">
        <is>
          <t>NFR2</t>
        </is>
      </c>
      <c r="D90" s="6" t="inlineStr">
        <is>
          <t>Owner access is unaffected throughout</t>
        </is>
      </c>
      <c r="E90" s="6" t="inlineStr">
        <is>
          <t>Grants created and revoked</t>
        </is>
      </c>
      <c r="F90" s="6" t="inlineStr">
        <is>
          <t>1. As the owner, view the pet and assessments</t>
        </is>
      </c>
      <c r="G90" s="6" t="inlineStr">
        <is>
          <t>Always fully visible to the owner</t>
        </is>
      </c>
      <c r="H90" s="6" t="n"/>
      <c r="I90" s="6" t="inlineStr">
        <is>
          <t>Not Executed</t>
        </is>
      </c>
      <c r="J90" s="6" t="n"/>
    </row>
    <row r="91" ht="28.8" customHeight="1">
      <c r="A91" s="11" t="inlineStr">
        <is>
          <t>TC-090</t>
        </is>
      </c>
      <c r="B91" s="12" t="inlineStr">
        <is>
          <t>Veterinarian</t>
        </is>
      </c>
      <c r="C91" s="12" t="inlineStr">
        <is>
          <t>FR8</t>
        </is>
      </c>
      <c r="D91" s="6" t="inlineStr">
        <is>
          <t>View assigned patients</t>
        </is>
      </c>
      <c r="E91" s="6" t="inlineStr">
        <is>
          <t>Grant exists</t>
        </is>
      </c>
      <c r="F91" s="6" t="inlineStr">
        <is>
          <t>1. Log in as vet
2. Open Patients</t>
        </is>
      </c>
      <c r="G91" s="6" t="inlineStr">
        <is>
          <t>Pet listed with vaccination status and latest assessment</t>
        </is>
      </c>
      <c r="H91" s="6" t="n"/>
      <c r="I91" s="6" t="inlineStr">
        <is>
          <t>Not Executed</t>
        </is>
      </c>
      <c r="J91" s="6" t="n"/>
    </row>
    <row r="92">
      <c r="A92" s="11" t="inlineStr">
        <is>
          <t>TC-091</t>
        </is>
      </c>
      <c r="B92" s="12" t="inlineStr">
        <is>
          <t>Veterinarian</t>
        </is>
      </c>
      <c r="C92" s="12" t="inlineStr">
        <is>
          <t>FR8</t>
        </is>
      </c>
      <c r="D92" s="6" t="inlineStr">
        <is>
          <t>View a patient's AI assessment</t>
        </is>
      </c>
      <c r="E92" s="6" t="inlineStr">
        <is>
          <t>Grant exists</t>
        </is>
      </c>
      <c r="F92" s="6" t="inlineStr">
        <is>
          <t>1. Open the patient's assessment</t>
        </is>
      </c>
      <c r="G92" s="6" t="inlineStr">
        <is>
          <t>Risk level, conditions and explanation shown</t>
        </is>
      </c>
      <c r="H92" s="6" t="n"/>
      <c r="I92" s="6" t="inlineStr">
        <is>
          <t>Not Executed</t>
        </is>
      </c>
      <c r="J92" s="6" t="n"/>
    </row>
    <row r="93" ht="28.8" customHeight="1">
      <c r="A93" s="11" t="inlineStr">
        <is>
          <t>TC-092</t>
        </is>
      </c>
      <c r="B93" s="12" t="inlineStr">
        <is>
          <t>Veterinarian</t>
        </is>
      </c>
      <c r="C93" s="12" t="inlineStr">
        <is>
          <t>O3</t>
        </is>
      </c>
      <c r="D93" s="6" t="inlineStr">
        <is>
          <t>Record a confirmed diagnosis</t>
        </is>
      </c>
      <c r="E93" s="6" t="inlineStr">
        <is>
          <t>Assessment open</t>
        </is>
      </c>
      <c r="F93" s="6" t="inlineStr">
        <is>
          <t>1. Enter the confirmed condition
2. Save</t>
        </is>
      </c>
      <c r="G93" s="6" t="inlineStr">
        <is>
          <t>Diagnosis recorded against the prediction</t>
        </is>
      </c>
      <c r="H93" s="6" t="n"/>
      <c r="I93" s="6" t="inlineStr">
        <is>
          <t>Not Executed</t>
        </is>
      </c>
      <c r="J93" s="6" t="n"/>
    </row>
    <row r="94">
      <c r="A94" s="11" t="inlineStr">
        <is>
          <t>TC-093</t>
        </is>
      </c>
      <c r="B94" s="12" t="inlineStr">
        <is>
          <t>Veterinarian</t>
        </is>
      </c>
      <c r="C94" s="12" t="inlineStr">
        <is>
          <t>FR6.4</t>
        </is>
      </c>
      <c r="D94" s="6" t="inlineStr">
        <is>
          <t>View appointments</t>
        </is>
      </c>
      <c r="E94" s="6" t="inlineStr">
        <is>
          <t>Bookings exist</t>
        </is>
      </c>
      <c r="F94" s="6" t="inlineStr">
        <is>
          <t>1. Open Appointments</t>
        </is>
      </c>
      <c r="G94" s="6" t="inlineStr">
        <is>
          <t>Bookings listed with pet, owner and time</t>
        </is>
      </c>
      <c r="H94" s="6" t="n"/>
      <c r="I94" s="6" t="inlineStr">
        <is>
          <t>Not Executed</t>
        </is>
      </c>
      <c r="J94" s="6" t="n"/>
    </row>
    <row r="95">
      <c r="A95" s="11" t="inlineStr">
        <is>
          <t>TC-094</t>
        </is>
      </c>
      <c r="B95" s="12" t="inlineStr">
        <is>
          <t>Veterinarian</t>
        </is>
      </c>
      <c r="C95" s="12" t="inlineStr">
        <is>
          <t>FR8</t>
        </is>
      </c>
      <c r="D95" s="6" t="inlineStr">
        <is>
          <t>Update appointment status</t>
        </is>
      </c>
      <c r="E95" s="6" t="inlineStr">
        <is>
          <t>An appointment exists</t>
        </is>
      </c>
      <c r="F95" s="6" t="inlineStr">
        <is>
          <t>1. Change status to Confirmed</t>
        </is>
      </c>
      <c r="G95" s="6" t="inlineStr">
        <is>
          <t>Status persists after reload</t>
        </is>
      </c>
      <c r="H95" s="6" t="n"/>
      <c r="I95" s="6" t="inlineStr">
        <is>
          <t>Not Executed</t>
        </is>
      </c>
      <c r="J95" s="6" t="n"/>
    </row>
    <row r="96" ht="28.8" customHeight="1">
      <c r="A96" s="11" t="inlineStr">
        <is>
          <t>TC-095</t>
        </is>
      </c>
      <c r="B96" s="12" t="inlineStr">
        <is>
          <t>Veterinarian</t>
        </is>
      </c>
      <c r="C96" s="12" t="inlineStr">
        <is>
          <t>FR8</t>
        </is>
      </c>
      <c r="D96" s="6" t="inlineStr">
        <is>
          <t>Respond to an owner inquiry</t>
        </is>
      </c>
      <c r="E96" s="6" t="inlineStr">
        <is>
          <t>An inquiry exists</t>
        </is>
      </c>
      <c r="F96" s="6" t="inlineStr">
        <is>
          <t>1. Open the inquiry
2. Reply</t>
        </is>
      </c>
      <c r="G96" s="6" t="inlineStr">
        <is>
          <t>Reply saved and visible to the owner</t>
        </is>
      </c>
      <c r="H96" s="6" t="n"/>
      <c r="I96" s="6" t="inlineStr">
        <is>
          <t>Not Executed</t>
        </is>
      </c>
      <c r="J96" s="6" t="n"/>
    </row>
    <row r="97" ht="28.8" customHeight="1">
      <c r="A97" s="13" t="inlineStr">
        <is>
          <t>TC-096</t>
        </is>
      </c>
      <c r="B97" s="14" t="inlineStr">
        <is>
          <t>Admin - Governance</t>
        </is>
      </c>
      <c r="C97" s="14" t="inlineStr">
        <is>
          <t>O3</t>
        </is>
      </c>
      <c r="D97" s="6" t="inlineStr">
        <is>
          <t>Learning metrics panel</t>
        </is>
      </c>
      <c r="E97" s="6" t="inlineStr">
        <is>
          <t>Feedback and a diagnosis exist</t>
        </is>
      </c>
      <c r="F97" s="6" t="inlineStr">
        <is>
          <t>1. Admin &gt; Governance</t>
        </is>
      </c>
      <c r="G97" s="6" t="inlineStr">
        <is>
          <t>Owner-helpful rate, diagnoses confirmed and AI-vs-vet agreement shown</t>
        </is>
      </c>
      <c r="H97" s="6" t="n"/>
      <c r="I97" s="6" t="inlineStr">
        <is>
          <t>Not Executed</t>
        </is>
      </c>
      <c r="J97" s="6" t="n"/>
    </row>
    <row r="98" ht="28.8" customHeight="1">
      <c r="A98" s="13" t="inlineStr">
        <is>
          <t>TC-097</t>
        </is>
      </c>
      <c r="B98" s="14" t="inlineStr">
        <is>
          <t>Admin - Governance</t>
        </is>
      </c>
      <c r="C98" s="14" t="inlineStr">
        <is>
          <t>O3</t>
        </is>
      </c>
      <c r="D98" s="6" t="inlineStr">
        <is>
          <t>Agreement rate updates</t>
        </is>
      </c>
      <c r="E98" s="6" t="inlineStr">
        <is>
          <t>New diagnosis recorded</t>
        </is>
      </c>
      <c r="F98" s="6" t="inlineStr">
        <is>
          <t>1. Record a further diagnosis
2. Reload governance</t>
        </is>
      </c>
      <c r="G98" s="6" t="inlineStr">
        <is>
          <t>Counts and agreement rate change accordingly</t>
        </is>
      </c>
      <c r="H98" s="6" t="n"/>
      <c r="I98" s="6" t="inlineStr">
        <is>
          <t>Not Executed</t>
        </is>
      </c>
      <c r="J98" s="6" t="n"/>
    </row>
    <row r="99">
      <c r="A99" s="13" t="inlineStr">
        <is>
          <t>TC-098</t>
        </is>
      </c>
      <c r="B99" s="14" t="inlineStr">
        <is>
          <t>Admin - Governance</t>
        </is>
      </c>
      <c r="C99" s="14" t="inlineStr">
        <is>
          <t>FR8.2</t>
        </is>
      </c>
      <c r="D99" s="6" t="inlineStr">
        <is>
          <t>Approvals queue lists submissions</t>
        </is>
      </c>
      <c r="E99" s="6" t="inlineStr">
        <is>
          <t>An approval was submitted</t>
        </is>
      </c>
      <c r="F99" s="6" t="inlineStr">
        <is>
          <t>1. Open Approvals</t>
        </is>
      </c>
      <c r="G99" s="6" t="inlineStr">
        <is>
          <t>Pending item shown with type and name</t>
        </is>
      </c>
      <c r="H99" s="6" t="n"/>
      <c r="I99" s="6" t="inlineStr">
        <is>
          <t>Not Executed</t>
        </is>
      </c>
      <c r="J99" s="6" t="n"/>
    </row>
    <row r="100">
      <c r="A100" s="13" t="inlineStr">
        <is>
          <t>TC-099</t>
        </is>
      </c>
      <c r="B100" s="14" t="inlineStr">
        <is>
          <t>Admin - Governance</t>
        </is>
      </c>
      <c r="C100" s="14" t="inlineStr">
        <is>
          <t>FR8.2</t>
        </is>
      </c>
      <c r="D100" s="6" t="inlineStr">
        <is>
          <t>Approve a submission</t>
        </is>
      </c>
      <c r="E100" s="6" t="inlineStr">
        <is>
          <t>A pending approval exists</t>
        </is>
      </c>
      <c r="F100" s="6" t="inlineStr">
        <is>
          <t>1. Click Approve</t>
        </is>
      </c>
      <c r="G100" s="6" t="inlineStr">
        <is>
          <t>Status becomes approved; audit entry created</t>
        </is>
      </c>
      <c r="H100" s="6" t="n"/>
      <c r="I100" s="6" t="inlineStr">
        <is>
          <t>Not Executed</t>
        </is>
      </c>
      <c r="J100" s="6" t="n"/>
    </row>
    <row r="101">
      <c r="A101" s="13" t="inlineStr">
        <is>
          <t>TC-100</t>
        </is>
      </c>
      <c r="B101" s="14" t="inlineStr">
        <is>
          <t>Admin - Governance</t>
        </is>
      </c>
      <c r="C101" s="14" t="inlineStr">
        <is>
          <t>FR8.2</t>
        </is>
      </c>
      <c r="D101" s="6" t="inlineStr">
        <is>
          <t>Reject a submission</t>
        </is>
      </c>
      <c r="E101" s="6" t="inlineStr">
        <is>
          <t>A pending approval exists</t>
        </is>
      </c>
      <c r="F101" s="6" t="inlineStr">
        <is>
          <t>1. Click Reject</t>
        </is>
      </c>
      <c r="G101" s="6" t="inlineStr">
        <is>
          <t>Status becomes rejected</t>
        </is>
      </c>
      <c r="H101" s="6" t="n"/>
      <c r="I101" s="6" t="inlineStr">
        <is>
          <t>Not Executed</t>
        </is>
      </c>
      <c r="J101" s="6" t="n"/>
    </row>
    <row r="102">
      <c r="A102" s="13" t="inlineStr">
        <is>
          <t>TC-101</t>
        </is>
      </c>
      <c r="B102" s="14" t="inlineStr">
        <is>
          <t>Admin - Governance</t>
        </is>
      </c>
      <c r="C102" s="14" t="inlineStr">
        <is>
          <t>FR8.2</t>
        </is>
      </c>
      <c r="D102" s="6" t="inlineStr">
        <is>
          <t>Support ticket workflow</t>
        </is>
      </c>
      <c r="E102" s="6" t="inlineStr">
        <is>
          <t>A ticket exists</t>
        </is>
      </c>
      <c r="F102" s="6" t="inlineStr">
        <is>
          <t>1. Advance it Open &gt; In Progress &gt; Resolved</t>
        </is>
      </c>
      <c r="G102" s="6" t="inlineStr">
        <is>
          <t>Status advances at each step</t>
        </is>
      </c>
      <c r="H102" s="6" t="n"/>
      <c r="I102" s="6" t="inlineStr">
        <is>
          <t>Not Executed</t>
        </is>
      </c>
      <c r="J102" s="6" t="n"/>
    </row>
    <row r="103">
      <c r="A103" s="13" t="inlineStr">
        <is>
          <t>TC-102</t>
        </is>
      </c>
      <c r="B103" s="14" t="inlineStr">
        <is>
          <t>Admin - Governance</t>
        </is>
      </c>
      <c r="C103" s="14" t="inlineStr">
        <is>
          <t>NFR2</t>
        </is>
      </c>
      <c r="D103" s="6" t="inlineStr">
        <is>
          <t>Audit trail records admin actions</t>
        </is>
      </c>
      <c r="E103" s="6" t="inlineStr">
        <is>
          <t>Actions performed</t>
        </is>
      </c>
      <c r="F103" s="6" t="inlineStr">
        <is>
          <t>1. Open the audit trail</t>
        </is>
      </c>
      <c r="G103" s="6" t="inlineStr">
        <is>
          <t>Recent actions listed with target and timestamp</t>
        </is>
      </c>
      <c r="H103" s="6" t="n"/>
      <c r="I103" s="6" t="inlineStr">
        <is>
          <t>Not Executed</t>
        </is>
      </c>
      <c r="J103" s="6" t="n"/>
    </row>
    <row r="104">
      <c r="A104" s="13" t="inlineStr">
        <is>
          <t>TC-103</t>
        </is>
      </c>
      <c r="B104" s="14" t="inlineStr">
        <is>
          <t>Admin - Governance</t>
        </is>
      </c>
      <c r="C104" s="14" t="inlineStr">
        <is>
          <t>NFR2</t>
        </is>
      </c>
      <c r="D104" s="6" t="inlineStr">
        <is>
          <t>Audit trail cannot be edited or deleted</t>
        </is>
      </c>
      <c r="E104" s="6" t="inlineStr">
        <is>
          <t>Entries exist</t>
        </is>
      </c>
      <c r="F104" s="6" t="inlineStr">
        <is>
          <t>1. Attempt to delete an audit entry via the UI or API</t>
        </is>
      </c>
      <c r="G104" s="6" t="inlineStr">
        <is>
          <t>No delete route exists; entry remains</t>
        </is>
      </c>
      <c r="H104" s="6" t="n"/>
      <c r="I104" s="6" t="inlineStr">
        <is>
          <t>Not Executed</t>
        </is>
      </c>
      <c r="J104" s="6" t="n"/>
    </row>
    <row r="105" ht="28.8" customHeight="1">
      <c r="A105" s="15" t="inlineStr">
        <is>
          <t>TC-104</t>
        </is>
      </c>
      <c r="B105" s="16" t="inlineStr">
        <is>
          <t>Notifications</t>
        </is>
      </c>
      <c r="C105" s="16" t="inlineStr">
        <is>
          <t>FR4.4</t>
        </is>
      </c>
      <c r="D105" s="6" t="inlineStr">
        <is>
          <t>Trigger the monitoring agent</t>
        </is>
      </c>
      <c r="E105" s="6" t="inlineStr">
        <is>
          <t>A pet with an overdue vaccination or recent high risk</t>
        </is>
      </c>
      <c r="F105" s="6" t="inlineStr">
        <is>
          <t>1. POST http://localhost:8002/monitor/run</t>
        </is>
      </c>
      <c r="G105" s="6" t="inlineStr">
        <is>
          <t>Response reports pets scanned and notifications created</t>
        </is>
      </c>
      <c r="H105" s="6" t="n"/>
      <c r="I105" s="6" t="inlineStr">
        <is>
          <t>Not Executed</t>
        </is>
      </c>
      <c r="J105" s="6" t="n"/>
    </row>
    <row r="106">
      <c r="A106" s="15" t="inlineStr">
        <is>
          <t>TC-105</t>
        </is>
      </c>
      <c r="B106" s="16" t="inlineStr">
        <is>
          <t>Notifications</t>
        </is>
      </c>
      <c r="C106" s="16" t="inlineStr">
        <is>
          <t>FR4.3</t>
        </is>
      </c>
      <c r="D106" s="6" t="inlineStr">
        <is>
          <t>Risk notification generated</t>
        </is>
      </c>
      <c r="E106" s="6" t="inlineStr">
        <is>
          <t>Monitor run completed</t>
        </is>
      </c>
      <c r="F106" s="6" t="inlineStr">
        <is>
          <t>1. Open the notification bell as the owner</t>
        </is>
      </c>
      <c r="G106" s="6" t="inlineStr">
        <is>
          <t>Risk alert listed</t>
        </is>
      </c>
      <c r="H106" s="6" t="n"/>
      <c r="I106" s="6" t="inlineStr">
        <is>
          <t>Not Executed</t>
        </is>
      </c>
      <c r="J106" s="6" t="n"/>
    </row>
    <row r="107">
      <c r="A107" s="15" t="inlineStr">
        <is>
          <t>TC-106</t>
        </is>
      </c>
      <c r="B107" s="16" t="inlineStr">
        <is>
          <t>Notifications</t>
        </is>
      </c>
      <c r="C107" s="16" t="inlineStr">
        <is>
          <t>FR5.3</t>
        </is>
      </c>
      <c r="D107" s="6" t="inlineStr">
        <is>
          <t>Vaccination reminder generated</t>
        </is>
      </c>
      <c r="E107" s="6" t="inlineStr">
        <is>
          <t>Overdue vaccination exists</t>
        </is>
      </c>
      <c r="F107" s="6" t="inlineStr">
        <is>
          <t>1. Check notifications</t>
        </is>
      </c>
      <c r="G107" s="6" t="inlineStr">
        <is>
          <t>Vaccination reminder listed</t>
        </is>
      </c>
      <c r="H107" s="6" t="n"/>
      <c r="I107" s="6" t="inlineStr">
        <is>
          <t>Not Executed</t>
        </is>
      </c>
      <c r="J107" s="6" t="n"/>
    </row>
    <row r="108">
      <c r="A108" s="15" t="inlineStr">
        <is>
          <t>TC-107</t>
        </is>
      </c>
      <c r="B108" s="16" t="inlineStr">
        <is>
          <t>Notifications</t>
        </is>
      </c>
      <c r="C108" s="16" t="inlineStr">
        <is>
          <t>FR4.3</t>
        </is>
      </c>
      <c r="D108" s="6" t="inlineStr">
        <is>
          <t>Duplicates suppressed</t>
        </is>
      </c>
      <c r="E108" s="6" t="inlineStr">
        <is>
          <t>Monitor already run today</t>
        </is>
      </c>
      <c r="F108" s="6" t="inlineStr">
        <is>
          <t>1. Run monitor a second time</t>
        </is>
      </c>
      <c r="G108" s="6" t="inlineStr">
        <is>
          <t>notifications_created = 0</t>
        </is>
      </c>
      <c r="H108" s="6" t="n"/>
      <c r="I108" s="6" t="inlineStr">
        <is>
          <t>Not Executed</t>
        </is>
      </c>
      <c r="J108" s="6" t="n"/>
    </row>
    <row r="109">
      <c r="A109" s="15" t="inlineStr">
        <is>
          <t>TC-108</t>
        </is>
      </c>
      <c r="B109" s="16" t="inlineStr">
        <is>
          <t>Notifications</t>
        </is>
      </c>
      <c r="C109" s="16" t="inlineStr">
        <is>
          <t>FR7.1</t>
        </is>
      </c>
      <c r="D109" s="6" t="inlineStr">
        <is>
          <t>Mark notification as read</t>
        </is>
      </c>
      <c r="E109" s="6" t="inlineStr">
        <is>
          <t>Notifications exist</t>
        </is>
      </c>
      <c r="F109" s="6" t="inlineStr">
        <is>
          <t>1. Click a notification</t>
        </is>
      </c>
      <c r="G109" s="6" t="inlineStr">
        <is>
          <t>Unread count decreases</t>
        </is>
      </c>
      <c r="H109" s="6" t="n"/>
      <c r="I109" s="6" t="inlineStr">
        <is>
          <t>Not Executed</t>
        </is>
      </c>
      <c r="J109" s="6" t="n"/>
    </row>
    <row r="110">
      <c r="A110" s="17" t="inlineStr">
        <is>
          <t>TC-109</t>
        </is>
      </c>
      <c r="B110" s="18" t="inlineStr">
        <is>
          <t>Trilingual</t>
        </is>
      </c>
      <c r="C110" s="18" t="inlineStr">
        <is>
          <t>NFR3</t>
        </is>
      </c>
      <c r="D110" s="6" t="inlineStr">
        <is>
          <t>Switch interface to Sinhala</t>
        </is>
      </c>
      <c r="E110" s="6" t="inlineStr">
        <is>
          <t>Logged in</t>
        </is>
      </c>
      <c r="F110" s="6" t="inlineStr">
        <is>
          <t>1. Use the language switcher &gt; සිංහල</t>
        </is>
      </c>
      <c r="G110" s="6" t="inlineStr">
        <is>
          <t>Interface text changes to Sinhala</t>
        </is>
      </c>
      <c r="H110" s="6" t="n"/>
      <c r="I110" s="6" t="inlineStr">
        <is>
          <t>Not Executed</t>
        </is>
      </c>
      <c r="J110" s="6" t="n"/>
    </row>
    <row r="111">
      <c r="A111" s="17" t="inlineStr">
        <is>
          <t>TC-110</t>
        </is>
      </c>
      <c r="B111" s="18" t="inlineStr">
        <is>
          <t>Trilingual</t>
        </is>
      </c>
      <c r="C111" s="18" t="inlineStr">
        <is>
          <t>NFR3</t>
        </is>
      </c>
      <c r="D111" s="6" t="inlineStr">
        <is>
          <t>Switch interface to Tamil</t>
        </is>
      </c>
      <c r="E111" s="6" t="inlineStr">
        <is>
          <t>Logged in</t>
        </is>
      </c>
      <c r="F111" s="6" t="inlineStr">
        <is>
          <t>1. Switch to தமிழ்</t>
        </is>
      </c>
      <c r="G111" s="6" t="inlineStr">
        <is>
          <t>Interface text changes to Tamil</t>
        </is>
      </c>
      <c r="H111" s="6" t="n"/>
      <c r="I111" s="6" t="inlineStr">
        <is>
          <t>Not Executed</t>
        </is>
      </c>
      <c r="J111" s="6" t="n"/>
    </row>
    <row r="112" ht="28.8" customHeight="1">
      <c r="A112" s="17" t="inlineStr">
        <is>
          <t>TC-111</t>
        </is>
      </c>
      <c r="B112" s="18" t="inlineStr">
        <is>
          <t>Trilingual</t>
        </is>
      </c>
      <c r="C112" s="18" t="inlineStr">
        <is>
          <t>FR4.6</t>
        </is>
      </c>
      <c r="D112" s="6" t="inlineStr">
        <is>
          <t>Prediction result localised</t>
        </is>
      </c>
      <c r="E112" s="6" t="inlineStr">
        <is>
          <t>Sinhala selected</t>
        </is>
      </c>
      <c r="F112" s="6" t="inlineStr">
        <is>
          <t>1. Open a prediction result</t>
        </is>
      </c>
      <c r="G112" s="6" t="inlineStr">
        <is>
          <t>Risk labels, conditions and explanation appear in Sinhala</t>
        </is>
      </c>
      <c r="H112" s="6" t="n"/>
      <c r="I112" s="6" t="inlineStr">
        <is>
          <t>Not Executed</t>
        </is>
      </c>
      <c r="J112" s="6" t="n"/>
    </row>
    <row r="113">
      <c r="A113" s="17" t="inlineStr">
        <is>
          <t>TC-112</t>
        </is>
      </c>
      <c r="B113" s="18" t="inlineStr">
        <is>
          <t>Trilingual</t>
        </is>
      </c>
      <c r="C113" s="18" t="inlineStr">
        <is>
          <t>FR4.6</t>
        </is>
      </c>
      <c r="D113" s="6" t="inlineStr">
        <is>
          <t>Agent guidance localised</t>
        </is>
      </c>
      <c r="E113" s="6" t="inlineStr">
        <is>
          <t>Tamil selected</t>
        </is>
      </c>
      <c r="F113" s="6" t="inlineStr">
        <is>
          <t>1. View agent guidance</t>
        </is>
      </c>
      <c r="G113" s="6" t="inlineStr">
        <is>
          <t>Recommendations appear in Tamil</t>
        </is>
      </c>
      <c r="H113" s="6" t="n"/>
      <c r="I113" s="6" t="inlineStr">
        <is>
          <t>Not Executed</t>
        </is>
      </c>
      <c r="J113" s="6" t="n"/>
    </row>
    <row r="114">
      <c r="A114" s="17" t="inlineStr">
        <is>
          <t>TC-113</t>
        </is>
      </c>
      <c r="B114" s="18" t="inlineStr">
        <is>
          <t>Trilingual</t>
        </is>
      </c>
      <c r="C114" s="18" t="inlineStr">
        <is>
          <t>NFR3</t>
        </is>
      </c>
      <c r="D114" s="6" t="inlineStr">
        <is>
          <t>Language preference persists</t>
        </is>
      </c>
      <c r="E114" s="6" t="inlineStr">
        <is>
          <t>Language changed</t>
        </is>
      </c>
      <c r="F114" s="6" t="inlineStr">
        <is>
          <t>1. Log out and back in</t>
        </is>
      </c>
      <c r="G114" s="6" t="inlineStr">
        <is>
          <t>Chosen language is retained</t>
        </is>
      </c>
      <c r="H114" s="6" t="n"/>
      <c r="I114" s="6" t="inlineStr">
        <is>
          <t>Not Executed</t>
        </is>
      </c>
      <c r="J114" s="6" t="n"/>
    </row>
    <row r="115">
      <c r="A115" s="19" t="inlineStr">
        <is>
          <t>TC-114</t>
        </is>
      </c>
      <c r="B115" s="20" t="inlineStr">
        <is>
          <t>Non-Functional</t>
        </is>
      </c>
      <c r="C115" s="20" t="inlineStr">
        <is>
          <t>NFR5</t>
        </is>
      </c>
      <c r="D115" s="6" t="inlineStr">
        <is>
          <t>Install as a PWA</t>
        </is>
      </c>
      <c r="E115" s="6" t="inlineStr">
        <is>
          <t>Frontend open in Chrome</t>
        </is>
      </c>
      <c r="F115" s="6" t="inlineStr">
        <is>
          <t>1. Use the install prompt in the address bar</t>
        </is>
      </c>
      <c r="G115" s="6" t="inlineStr">
        <is>
          <t>App installs and opens in its own window</t>
        </is>
      </c>
      <c r="H115" s="6" t="n"/>
      <c r="I115" s="6" t="inlineStr">
        <is>
          <t>Not Executed</t>
        </is>
      </c>
      <c r="J115" s="6" t="n"/>
    </row>
    <row r="116">
      <c r="A116" s="19" t="inlineStr">
        <is>
          <t>TC-115</t>
        </is>
      </c>
      <c r="B116" s="20" t="inlineStr">
        <is>
          <t>Non-Functional</t>
        </is>
      </c>
      <c r="C116" s="20" t="inlineStr">
        <is>
          <t>NFR3</t>
        </is>
      </c>
      <c r="D116" s="6" t="inlineStr">
        <is>
          <t>Mobile responsive layout</t>
        </is>
      </c>
      <c r="E116" s="6" t="inlineStr">
        <is>
          <t>Frontend open</t>
        </is>
      </c>
      <c r="F116" s="6" t="inlineStr">
        <is>
          <t>1. DevTools &gt; toggle device toolbar &gt; iPhone</t>
        </is>
      </c>
      <c r="G116" s="6" t="inlineStr">
        <is>
          <t>Layout adapts; no horizontal scrolling</t>
        </is>
      </c>
      <c r="H116" s="6" t="n"/>
      <c r="I116" s="6" t="inlineStr">
        <is>
          <t>Not Executed</t>
        </is>
      </c>
      <c r="J116" s="6" t="n"/>
    </row>
    <row r="117">
      <c r="A117" s="19" t="inlineStr">
        <is>
          <t>TC-116</t>
        </is>
      </c>
      <c r="B117" s="20" t="inlineStr">
        <is>
          <t>Non-Functional</t>
        </is>
      </c>
      <c r="C117" s="20" t="inlineStr">
        <is>
          <t>NFR4</t>
        </is>
      </c>
      <c r="D117" s="6" t="inlineStr">
        <is>
          <t>Prediction response time</t>
        </is>
      </c>
      <c r="E117" s="6" t="inlineStr">
        <is>
          <t>Stack running</t>
        </is>
      </c>
      <c r="F117" s="6" t="inlineStr">
        <is>
          <t>1. Submit an assessment and time it</t>
        </is>
      </c>
      <c r="G117" s="6" t="inlineStr">
        <is>
          <t>Result returns within a few seconds</t>
        </is>
      </c>
      <c r="H117" s="6" t="n"/>
      <c r="I117" s="6" t="inlineStr">
        <is>
          <t>Not Executed</t>
        </is>
      </c>
      <c r="J117" s="6" t="n"/>
    </row>
    <row r="118" ht="28.8" customHeight="1">
      <c r="A118" s="19" t="inlineStr">
        <is>
          <t>TC-117</t>
        </is>
      </c>
      <c r="B118" s="20" t="inlineStr">
        <is>
          <t>Non-Functional</t>
        </is>
      </c>
      <c r="C118" s="20" t="inlineStr">
        <is>
          <t>FR3</t>
        </is>
      </c>
      <c r="D118" s="6" t="inlineStr">
        <is>
          <t>Offline estimate is labelled</t>
        </is>
      </c>
      <c r="E118" s="6" t="inlineStr">
        <is>
          <t>Stack running</t>
        </is>
      </c>
      <c r="F118" s="6" t="inlineStr">
        <is>
          <t>1. Stop ai-service
2. Submit an assessment</t>
        </is>
      </c>
      <c r="G118" s="6" t="inlineStr">
        <is>
          <t>Banner states this is an offline estimate, not a model prediction</t>
        </is>
      </c>
      <c r="H118" s="6" t="n"/>
      <c r="I118" s="6" t="inlineStr">
        <is>
          <t>Not Executed</t>
        </is>
      </c>
      <c r="J118" s="6" t="n"/>
    </row>
    <row r="119">
      <c r="A119" s="19" t="inlineStr">
        <is>
          <t>TC-118</t>
        </is>
      </c>
      <c r="B119" s="20" t="inlineStr">
        <is>
          <t>Non-Functional</t>
        </is>
      </c>
      <c r="C119" s="20" t="inlineStr">
        <is>
          <t>NFR1</t>
        </is>
      </c>
      <c r="D119" s="6" t="inlineStr">
        <is>
          <t>No fabricated confidence offline</t>
        </is>
      </c>
      <c r="E119" s="6" t="inlineStr">
        <is>
          <t>Offline estimate shown</t>
        </is>
      </c>
      <c r="F119" s="6" t="inlineStr">
        <is>
          <t>1. Inspect the result and the shared report text</t>
        </is>
      </c>
      <c r="G119" s="6" t="inlineStr">
        <is>
          <t>No confidence percentage is shown or exported</t>
        </is>
      </c>
      <c r="H119" s="6" t="n"/>
      <c r="I119" s="6" t="inlineStr">
        <is>
          <t>Not Executed</t>
        </is>
      </c>
      <c r="J119" s="6" t="n"/>
    </row>
    <row r="120">
      <c r="A120" s="19" t="inlineStr">
        <is>
          <t>TC-119</t>
        </is>
      </c>
      <c r="B120" s="20" t="inlineStr">
        <is>
          <t>Non-Functional</t>
        </is>
      </c>
      <c r="C120" s="20" t="inlineStr">
        <is>
          <t>NFR2</t>
        </is>
      </c>
      <c r="D120" s="6" t="inlineStr">
        <is>
          <t>Unauthenticated API access blocked</t>
        </is>
      </c>
      <c r="E120" s="6" t="inlineStr">
        <is>
          <t>AUTH_ENFORCE=true</t>
        </is>
      </c>
      <c r="F120" s="6" t="inlineStr">
        <is>
          <t>1. Call http://localhost:4000/api/pets with no token</t>
        </is>
      </c>
      <c r="G120" s="6" t="inlineStr">
        <is>
          <t>401 Unauthorized</t>
        </is>
      </c>
      <c r="H120" s="6" t="n"/>
      <c r="I120" s="6" t="inlineStr">
        <is>
          <t>Not Executed</t>
        </is>
      </c>
      <c r="J120" s="6" t="n"/>
    </row>
    <row r="121">
      <c r="A121" s="19" t="inlineStr">
        <is>
          <t>TC-120</t>
        </is>
      </c>
      <c r="B121" s="20" t="inlineStr">
        <is>
          <t>Non-Functional</t>
        </is>
      </c>
      <c r="C121" s="20" t="inlineStr">
        <is>
          <t>NFR2</t>
        </is>
      </c>
      <c r="D121" s="6" t="inlineStr">
        <is>
          <t>Tampered token rejected</t>
        </is>
      </c>
      <c r="E121" s="6" t="inlineStr">
        <is>
          <t>-</t>
        </is>
      </c>
      <c r="F121" s="6" t="inlineStr">
        <is>
          <t>1. Call the API with a modified JWT</t>
        </is>
      </c>
      <c r="G121" s="6" t="inlineStr">
        <is>
          <t>401 Unauthorized</t>
        </is>
      </c>
      <c r="H121" s="6" t="n"/>
      <c r="I121" s="6" t="inlineStr">
        <is>
          <t>Not Executed</t>
        </is>
      </c>
      <c r="J121" s="6" t="n"/>
    </row>
    <row r="122" ht="28.8" customHeight="1">
      <c r="A122" s="19" t="inlineStr">
        <is>
          <t>TC-121</t>
        </is>
      </c>
      <c r="B122" s="20" t="inlineStr">
        <is>
          <t>Non-Functional</t>
        </is>
      </c>
      <c r="C122" s="20" t="inlineStr">
        <is>
          <t>NFR2</t>
        </is>
      </c>
      <c r="D122" s="6" t="inlineStr">
        <is>
          <t>Identity headers cannot be spoofed</t>
        </is>
      </c>
      <c r="E122" s="6" t="inlineStr">
        <is>
          <t>-</t>
        </is>
      </c>
      <c r="F122" s="6" t="inlineStr">
        <is>
          <t>1. Call the gateway supplying your own x-user-role: admin header</t>
        </is>
      </c>
      <c r="G122" s="6" t="inlineStr">
        <is>
          <t>Header is stripped and replaced from the verified token; no privilege gained</t>
        </is>
      </c>
      <c r="H122" s="6" t="n"/>
      <c r="I122" s="6" t="inlineStr">
        <is>
          <t>Not Executed</t>
        </is>
      </c>
      <c r="J122" s="6" t="n"/>
    </row>
    <row r="123" ht="28.8" customHeight="1">
      <c r="A123" s="19" t="inlineStr">
        <is>
          <t>TC-122</t>
        </is>
      </c>
      <c r="B123" s="20" t="inlineStr">
        <is>
          <t>Non-Functional</t>
        </is>
      </c>
      <c r="C123" s="20" t="inlineStr">
        <is>
          <t>NFR6</t>
        </is>
      </c>
      <c r="D123" s="6" t="inlineStr">
        <is>
          <t>Automated test suites pass</t>
        </is>
      </c>
      <c r="E123" s="6" t="inlineStr">
        <is>
          <t>Stack running</t>
        </is>
      </c>
      <c r="F123" s="6" t="inlineStr">
        <is>
          <t>1. Run the ai-service, agent-service and gateway test suites</t>
        </is>
      </c>
      <c r="G123" s="6" t="inlineStr">
        <is>
          <t>19 + 15 + 7 tests pass</t>
        </is>
      </c>
      <c r="H123" s="6" t="n"/>
      <c r="I123" s="6" t="inlineStr">
        <is>
          <t>Not Executed</t>
        </is>
      </c>
      <c r="J123" s="6" t="n"/>
    </row>
    <row r="124" ht="28.8" customHeight="1">
      <c r="A124" s="19" t="inlineStr">
        <is>
          <t>TC-123</t>
        </is>
      </c>
      <c r="B124" s="20" t="inlineStr">
        <is>
          <t>Non-Functional</t>
        </is>
      </c>
      <c r="C124" s="20" t="inlineStr">
        <is>
          <t>NFR6</t>
        </is>
      </c>
      <c r="D124" s="6" t="inlineStr">
        <is>
          <t>Stack recovers from restart</t>
        </is>
      </c>
      <c r="E124" s="6" t="inlineStr">
        <is>
          <t>Stack running</t>
        </is>
      </c>
      <c r="F124" s="6" t="inlineStr">
        <is>
          <t>1. docker compose restart
2. Reload the app</t>
        </is>
      </c>
      <c r="G124" s="6" t="inlineStr">
        <is>
          <t>All services healthy; data intact; ontology reapplied</t>
        </is>
      </c>
      <c r="H124" s="6" t="n"/>
      <c r="I124" s="6" t="inlineStr">
        <is>
          <t>Not Executed</t>
        </is>
      </c>
      <c r="J124" s="6" t="n"/>
    </row>
  </sheetData>
  <autoFilter ref="A1:J124"/>
  <dataValidations count="1">
    <dataValidation sqref="I2:I124" showDropDown="0" showInputMessage="0" showErrorMessage="0" allowBlank="0" type="list">
      <formula1>"Pass,Fail,Blocked,Not Executed"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74" customWidth="1" min="2" max="2"/>
    <col width="13" customWidth="1" min="3" max="3"/>
  </cols>
  <sheetData>
    <row r="1">
      <c r="A1" s="21" t="inlineStr">
        <is>
          <t>Requirement</t>
        </is>
      </c>
      <c r="B1" s="21" t="inlineStr">
        <is>
          <t>Test Case IDs</t>
        </is>
      </c>
      <c r="C1" s="21" t="inlineStr">
        <is>
          <t>No. of Cases</t>
        </is>
      </c>
    </row>
    <row r="2">
      <c r="A2" s="22" t="inlineStr">
        <is>
          <t>FR1.1</t>
        </is>
      </c>
      <c r="B2" s="22" t="inlineStr">
        <is>
          <t>TC-006, TC-007, TC-009, TC-011, TC-012, TC-013, TC-028</t>
        </is>
      </c>
      <c r="C2" s="22" t="n">
        <v>7</v>
      </c>
    </row>
    <row r="3">
      <c r="A3" s="22" t="inlineStr">
        <is>
          <t>FR1.2</t>
        </is>
      </c>
      <c r="B3" s="22" t="inlineStr">
        <is>
          <t>TC-010, TC-014</t>
        </is>
      </c>
      <c r="C3" s="22" t="n">
        <v>2</v>
      </c>
    </row>
    <row r="4">
      <c r="A4" s="22" t="inlineStr">
        <is>
          <t>FR1.3</t>
        </is>
      </c>
      <c r="B4" s="22" t="inlineStr">
        <is>
          <t>TC-032, TC-034, TC-035, TC-037</t>
        </is>
      </c>
      <c r="C4" s="22" t="n">
        <v>4</v>
      </c>
    </row>
    <row r="5">
      <c r="A5" s="22" t="inlineStr">
        <is>
          <t>FR1.4</t>
        </is>
      </c>
      <c r="B5" s="22" t="inlineStr">
        <is>
          <t>TC-036</t>
        </is>
      </c>
      <c r="C5" s="22" t="n">
        <v>1</v>
      </c>
    </row>
    <row r="6">
      <c r="A6" s="22" t="inlineStr">
        <is>
          <t>FR2.1</t>
        </is>
      </c>
      <c r="B6" s="22" t="inlineStr">
        <is>
          <t>TC-044, TC-045</t>
        </is>
      </c>
      <c r="C6" s="22" t="n">
        <v>2</v>
      </c>
    </row>
    <row r="7">
      <c r="A7" s="22" t="inlineStr">
        <is>
          <t>FR2.2</t>
        </is>
      </c>
      <c r="B7" s="22" t="inlineStr">
        <is>
          <t>TC-053</t>
        </is>
      </c>
      <c r="C7" s="22" t="n">
        <v>1</v>
      </c>
    </row>
    <row r="8">
      <c r="A8" s="22" t="inlineStr">
        <is>
          <t>FR2.4</t>
        </is>
      </c>
      <c r="B8" s="22" t="inlineStr">
        <is>
          <t>TC-008, TC-018, TC-033</t>
        </is>
      </c>
      <c r="C8" s="22" t="n">
        <v>3</v>
      </c>
    </row>
    <row r="9">
      <c r="A9" s="22" t="inlineStr">
        <is>
          <t>FR3</t>
        </is>
      </c>
      <c r="B9" s="22" t="inlineStr">
        <is>
          <t>TC-054, TC-055, TC-117</t>
        </is>
      </c>
      <c r="C9" s="22" t="n">
        <v>3</v>
      </c>
    </row>
    <row r="10">
      <c r="A10" s="22" t="inlineStr">
        <is>
          <t>FR3.1</t>
        </is>
      </c>
      <c r="B10" s="22" t="inlineStr">
        <is>
          <t>TC-005, TC-046, TC-049, TC-051, TC-052</t>
        </is>
      </c>
      <c r="C10" s="22" t="n">
        <v>5</v>
      </c>
    </row>
    <row r="11">
      <c r="A11" s="22" t="inlineStr">
        <is>
          <t>FR3.2</t>
        </is>
      </c>
      <c r="B11" s="22" t="inlineStr">
        <is>
          <t>TC-047, TC-048</t>
        </is>
      </c>
      <c r="C11" s="22" t="n">
        <v>2</v>
      </c>
    </row>
    <row r="12">
      <c r="A12" s="22" t="inlineStr">
        <is>
          <t>FR4</t>
        </is>
      </c>
      <c r="B12" s="22" t="inlineStr">
        <is>
          <t>TC-067, TC-068, TC-069</t>
        </is>
      </c>
      <c r="C12" s="22" t="n">
        <v>3</v>
      </c>
    </row>
    <row r="13">
      <c r="A13" s="22" t="inlineStr">
        <is>
          <t>FR4.1</t>
        </is>
      </c>
      <c r="B13" s="22" t="inlineStr">
        <is>
          <t>TC-062, TC-066</t>
        </is>
      </c>
      <c r="C13" s="22" t="n">
        <v>2</v>
      </c>
    </row>
    <row r="14">
      <c r="A14" s="22" t="inlineStr">
        <is>
          <t>FR4.2</t>
        </is>
      </c>
      <c r="B14" s="22" t="inlineStr">
        <is>
          <t>TC-063</t>
        </is>
      </c>
      <c r="C14" s="22" t="n">
        <v>1</v>
      </c>
    </row>
    <row r="15">
      <c r="A15" s="22" t="inlineStr">
        <is>
          <t>FR4.3</t>
        </is>
      </c>
      <c r="B15" s="22" t="inlineStr">
        <is>
          <t>TC-105, TC-107</t>
        </is>
      </c>
      <c r="C15" s="22" t="n">
        <v>2</v>
      </c>
    </row>
    <row r="16">
      <c r="A16" s="22" t="inlineStr">
        <is>
          <t>FR4.4</t>
        </is>
      </c>
      <c r="B16" s="22" t="inlineStr">
        <is>
          <t>TC-104</t>
        </is>
      </c>
      <c r="C16" s="22" t="n">
        <v>1</v>
      </c>
    </row>
    <row r="17">
      <c r="A17" s="22" t="inlineStr">
        <is>
          <t>FR4.6</t>
        </is>
      </c>
      <c r="B17" s="22" t="inlineStr">
        <is>
          <t>TC-064, TC-111, TC-112</t>
        </is>
      </c>
      <c r="C17" s="22" t="n">
        <v>3</v>
      </c>
    </row>
    <row r="18">
      <c r="A18" s="22" t="inlineStr">
        <is>
          <t>FR4.7</t>
        </is>
      </c>
      <c r="B18" s="22" t="inlineStr">
        <is>
          <t>TC-004, TC-059, TC-060</t>
        </is>
      </c>
      <c r="C18" s="22" t="n">
        <v>3</v>
      </c>
    </row>
    <row r="19">
      <c r="A19" s="22" t="inlineStr">
        <is>
          <t>FR5.1</t>
        </is>
      </c>
      <c r="B19" s="22" t="inlineStr">
        <is>
          <t>TC-039, TC-042, TC-043</t>
        </is>
      </c>
      <c r="C19" s="22" t="n">
        <v>3</v>
      </c>
    </row>
    <row r="20">
      <c r="A20" s="22" t="inlineStr">
        <is>
          <t>FR5.2</t>
        </is>
      </c>
      <c r="B20" s="22" t="inlineStr">
        <is>
          <t>TC-040, TC-041</t>
        </is>
      </c>
      <c r="C20" s="22" t="n">
        <v>2</v>
      </c>
    </row>
    <row r="21">
      <c r="A21" s="22" t="inlineStr">
        <is>
          <t>FR5.3</t>
        </is>
      </c>
      <c r="B21" s="22" t="inlineStr">
        <is>
          <t>TC-106</t>
        </is>
      </c>
      <c r="C21" s="22" t="n">
        <v>1</v>
      </c>
    </row>
    <row r="22">
      <c r="A22" s="22" t="inlineStr">
        <is>
          <t>FR6.1</t>
        </is>
      </c>
      <c r="B22" s="22" t="inlineStr">
        <is>
          <t>TC-070, TC-071, TC-072</t>
        </is>
      </c>
      <c r="C22" s="22" t="n">
        <v>3</v>
      </c>
    </row>
    <row r="23">
      <c r="A23" s="22" t="inlineStr">
        <is>
          <t>FR6.2</t>
        </is>
      </c>
      <c r="B23" s="22" t="inlineStr">
        <is>
          <t>TC-073</t>
        </is>
      </c>
      <c r="C23" s="22" t="n">
        <v>1</v>
      </c>
    </row>
    <row r="24">
      <c r="A24" s="22" t="inlineStr">
        <is>
          <t>FR6.3</t>
        </is>
      </c>
      <c r="B24" s="22" t="inlineStr">
        <is>
          <t>TC-022, TC-074</t>
        </is>
      </c>
      <c r="C24" s="22" t="n">
        <v>2</v>
      </c>
    </row>
    <row r="25">
      <c r="A25" s="22" t="inlineStr">
        <is>
          <t>FR6.4</t>
        </is>
      </c>
      <c r="B25" s="22" t="inlineStr">
        <is>
          <t>TC-075, TC-076, TC-077, TC-078, TC-093</t>
        </is>
      </c>
      <c r="C25" s="22" t="n">
        <v>5</v>
      </c>
    </row>
    <row r="26">
      <c r="A26" s="22" t="inlineStr">
        <is>
          <t>FR7.1</t>
        </is>
      </c>
      <c r="B26" s="22" t="inlineStr">
        <is>
          <t>TC-108</t>
        </is>
      </c>
      <c r="C26" s="22" t="n">
        <v>1</v>
      </c>
    </row>
    <row r="27">
      <c r="A27" s="22" t="inlineStr">
        <is>
          <t>FR8</t>
        </is>
      </c>
      <c r="B27" s="22" t="inlineStr">
        <is>
          <t>TC-090, TC-091, TC-094, TC-095</t>
        </is>
      </c>
      <c r="C27" s="22" t="n">
        <v>4</v>
      </c>
    </row>
    <row r="28">
      <c r="A28" s="22" t="inlineStr">
        <is>
          <t>FR8.1</t>
        </is>
      </c>
      <c r="B28" s="22" t="inlineStr">
        <is>
          <t>TC-017, TC-019, TC-020, TC-023, TC-024</t>
        </is>
      </c>
      <c r="C28" s="22" t="n">
        <v>5</v>
      </c>
    </row>
    <row r="29">
      <c r="A29" s="22" t="inlineStr">
        <is>
          <t>FR8.2</t>
        </is>
      </c>
      <c r="B29" s="22" t="inlineStr">
        <is>
          <t>TC-025, TC-026, TC-027, TC-029, TC-030, TC-098, TC-099, TC-100, TC-101</t>
        </is>
      </c>
      <c r="C29" s="22" t="n">
        <v>9</v>
      </c>
    </row>
    <row r="30">
      <c r="A30" s="22" t="inlineStr">
        <is>
          <t>NFR1</t>
        </is>
      </c>
      <c r="B30" s="22" t="inlineStr">
        <is>
          <t>TC-050, TC-118</t>
        </is>
      </c>
      <c r="C30" s="22" t="n">
        <v>2</v>
      </c>
    </row>
    <row r="31">
      <c r="A31" s="22" t="inlineStr">
        <is>
          <t>NFR2</t>
        </is>
      </c>
      <c r="B31" s="22" t="inlineStr">
        <is>
          <t>TC-015, TC-016, TC-031, TC-038, TC-089, TC-102, TC-103, TC-119, TC-120, TC-121</t>
        </is>
      </c>
      <c r="C31" s="22" t="n">
        <v>10</v>
      </c>
    </row>
    <row r="32">
      <c r="A32" s="22" t="inlineStr">
        <is>
          <t>NFR3</t>
        </is>
      </c>
      <c r="B32" s="22" t="inlineStr">
        <is>
          <t>TC-109, TC-110, TC-113, TC-115</t>
        </is>
      </c>
      <c r="C32" s="22" t="n">
        <v>4</v>
      </c>
    </row>
    <row r="33">
      <c r="A33" s="22" t="inlineStr">
        <is>
          <t>NFR4</t>
        </is>
      </c>
      <c r="B33" s="22" t="inlineStr">
        <is>
          <t>TC-116</t>
        </is>
      </c>
      <c r="C33" s="22" t="n">
        <v>1</v>
      </c>
    </row>
    <row r="34">
      <c r="A34" s="22" t="inlineStr">
        <is>
          <t>NFR5</t>
        </is>
      </c>
      <c r="B34" s="22" t="inlineStr">
        <is>
          <t>TC-114</t>
        </is>
      </c>
      <c r="C34" s="22" t="n">
        <v>1</v>
      </c>
    </row>
    <row r="35">
      <c r="A35" s="22" t="inlineStr">
        <is>
          <t>NFR6</t>
        </is>
      </c>
      <c r="B35" s="22" t="inlineStr">
        <is>
          <t>TC-122, TC-123</t>
        </is>
      </c>
      <c r="C35" s="22" t="n">
        <v>2</v>
      </c>
    </row>
    <row r="36">
      <c r="A36" s="22" t="inlineStr">
        <is>
          <t>RQ4</t>
        </is>
      </c>
      <c r="B36" s="22" t="inlineStr">
        <is>
          <t>TC-056, TC-057, TC-058, TC-061</t>
        </is>
      </c>
      <c r="C36" s="22" t="n">
        <v>4</v>
      </c>
    </row>
    <row r="37" ht="28.8" customHeight="1">
      <c r="A37" s="22" t="inlineStr">
        <is>
          <t>RQ5</t>
        </is>
      </c>
      <c r="B37" s="22" t="inlineStr">
        <is>
          <t>TC-021, TC-079, TC-080, TC-081, TC-082, TC-083, TC-084, TC-085, TC-086, TC-087, TC-088</t>
        </is>
      </c>
      <c r="C37" s="22" t="n">
        <v>11</v>
      </c>
    </row>
    <row r="38">
      <c r="A38" s="22" t="inlineStr">
        <is>
          <t>O3</t>
        </is>
      </c>
      <c r="B38" s="22" t="inlineStr">
        <is>
          <t>TC-092, TC-096, TC-097</t>
        </is>
      </c>
      <c r="C38" s="22" t="n">
        <v>3</v>
      </c>
    </row>
    <row r="39">
      <c r="A39" s="22" t="inlineStr">
        <is>
          <t>O4</t>
        </is>
      </c>
      <c r="B39" s="22" t="inlineStr">
        <is>
          <t>TC-065</t>
        </is>
      </c>
      <c r="C39" s="22" t="n">
        <v>1</v>
      </c>
    </row>
    <row r="40">
      <c r="A40" s="22" t="inlineStr">
        <is>
          <t>-</t>
        </is>
      </c>
      <c r="B40" s="22" t="inlineStr">
        <is>
          <t>TC-001, TC-002, TC-003</t>
        </is>
      </c>
      <c r="C40" s="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2026-07-28T04:58:58Z</dcterms:created>
  <dcterms:modified xsi:type="dcterms:W3CDTF">2026-07-28T05:32:22Z</dcterms:modified>
  <cp:lastModifiedBy>Tharushi Ranasinghe</cp:lastModifiedBy>
</cp:coreProperties>
</file>